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icta\Desktop\Proyecto_AC\Proyectos\Proyectos\Resources\"/>
    </mc:Choice>
  </mc:AlternateContent>
  <xr:revisionPtr revIDLastSave="0" documentId="13_ncr:1_{683AEACE-BB38-4D80-ACD4-4CFB5BFF2DA8}" xr6:coauthVersionLast="47" xr6:coauthVersionMax="47" xr10:uidLastSave="{00000000-0000-0000-0000-000000000000}"/>
  <bookViews>
    <workbookView xWindow="-108" yWindow="-108" windowWidth="23256" windowHeight="12456" tabRatio="776" firstSheet="1" activeTab="4" xr2:uid="{99BBC6DC-07DE-4ED9-A107-5837AFD7D69A}"/>
  </bookViews>
  <sheets>
    <sheet name="Hoja de vida" sheetId="38" state="hidden" r:id="rId1"/>
    <sheet name="1. Presentación" sheetId="40" r:id="rId2"/>
    <sheet name="VS-RC" sheetId="107" r:id="rId3"/>
    <sheet name="VE-RC" sheetId="45" r:id="rId4"/>
    <sheet name="EI-RC" sheetId="113" r:id="rId5"/>
    <sheet name="Ventilación zonas comúnes" sheetId="105" r:id="rId6"/>
    <sheet name="Extracción Baños" sheetId="66" r:id="rId7"/>
    <sheet name="Extracción zonas comúnes" sheetId="106" r:id="rId8"/>
    <sheet name="Sheet1" sheetId="108" state="hidden" r:id="rId9"/>
    <sheet name="Hoja1" sheetId="37" state="hidden" r:id="rId10"/>
  </sheets>
  <externalReferences>
    <externalReference r:id="rId11"/>
  </externalReferences>
  <definedNames>
    <definedName name="_xlnm.Print_Area" localSheetId="4">'EI-RC'!$A$1:$E$58</definedName>
    <definedName name="_xlnm.Print_Area" localSheetId="6">'Extracción Baños'!$A$1:$G$24</definedName>
    <definedName name="_xlnm.Print_Area" localSheetId="7">'Extracción zonas comúnes'!$A$1:$G$35</definedName>
    <definedName name="_xlnm.Print_Area" localSheetId="5">'Ventilación zonas comúnes'!$A$1:$J$43</definedName>
    <definedName name="_xlnm.Print_Area" localSheetId="3">'VE-RC'!$A$1:$E$61</definedName>
    <definedName name="_xlnm.Print_Area" localSheetId="2">'VS-RC'!$A$1:$E$61</definedName>
    <definedName name="_xlnm.Print_Titles" localSheetId="1">'1. Presentación'!$1:$4</definedName>
    <definedName name="_xlnm.Print_Titles" localSheetId="0">'Hoja de vida'!$1:$4</definedName>
    <definedName name="redondeoDecimCOP" localSheetId="1">#REF!</definedName>
    <definedName name="redondeoDecimCOP">#REF!</definedName>
    <definedName name="TablaDescuentos" localSheetId="1">#REF!</definedName>
    <definedName name="TablaDescuentos">#REF!</definedName>
  </definedNames>
  <calcPr calcId="191029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107" l="1"/>
  <c r="E47" i="107"/>
  <c r="E44" i="45"/>
  <c r="E45" i="45"/>
  <c r="E46" i="45"/>
  <c r="E47" i="45"/>
  <c r="E48" i="45"/>
  <c r="E49" i="45"/>
  <c r="E50" i="45"/>
  <c r="E51" i="45"/>
  <c r="E43" i="113"/>
  <c r="E44" i="113"/>
  <c r="E45" i="113"/>
  <c r="E46" i="113"/>
  <c r="E47" i="113"/>
  <c r="E48" i="113"/>
  <c r="E49" i="113"/>
  <c r="E50" i="113"/>
  <c r="E49" i="107"/>
  <c r="E50" i="107"/>
  <c r="E51" i="107"/>
  <c r="E52" i="107"/>
  <c r="E48" i="107"/>
  <c r="F13" i="66"/>
  <c r="F12" i="66"/>
  <c r="L14" i="108"/>
  <c r="J9" i="66"/>
  <c r="J8" i="66"/>
  <c r="D42" i="113"/>
  <c r="E42" i="113" s="1"/>
  <c r="D41" i="113"/>
  <c r="E41" i="113" s="1"/>
  <c r="D40" i="113"/>
  <c r="P14" i="105"/>
  <c r="P22" i="105"/>
  <c r="P21" i="105"/>
  <c r="P20" i="105"/>
  <c r="S19" i="105"/>
  <c r="R19" i="105"/>
  <c r="P19" i="105"/>
  <c r="S18" i="105"/>
  <c r="R18" i="105"/>
  <c r="P18" i="105"/>
  <c r="P17" i="105"/>
  <c r="S16" i="105"/>
  <c r="R16" i="105"/>
  <c r="P16" i="105"/>
  <c r="P15" i="105"/>
  <c r="S13" i="105"/>
  <c r="R13" i="105"/>
  <c r="P13" i="105"/>
  <c r="S12" i="105"/>
  <c r="R12" i="105"/>
  <c r="P12" i="105"/>
  <c r="L14" i="105"/>
  <c r="L24" i="105"/>
  <c r="M18" i="105" s="1"/>
  <c r="N18" i="105" s="1"/>
  <c r="L22" i="105"/>
  <c r="L21" i="105"/>
  <c r="L20" i="105"/>
  <c r="L19" i="105"/>
  <c r="L18" i="105"/>
  <c r="L17" i="105"/>
  <c r="L16" i="105"/>
  <c r="L15" i="105"/>
  <c r="L13" i="105"/>
  <c r="L12" i="105"/>
  <c r="J23" i="105"/>
  <c r="H20" i="105"/>
  <c r="I20" i="105"/>
  <c r="E46" i="107"/>
  <c r="E45" i="107"/>
  <c r="H6" i="108"/>
  <c r="H3" i="108"/>
  <c r="D18" i="108"/>
  <c r="F13" i="106"/>
  <c r="M19" i="105" l="1"/>
  <c r="N19" i="105" s="1"/>
  <c r="U19" i="105" s="1"/>
  <c r="M13" i="105"/>
  <c r="N13" i="105" s="1"/>
  <c r="U13" i="105" s="1"/>
  <c r="M21" i="105"/>
  <c r="N21" i="105" s="1"/>
  <c r="U21" i="105" s="1"/>
  <c r="M22" i="105"/>
  <c r="N22" i="105" s="1"/>
  <c r="W22" i="105" s="1"/>
  <c r="U18" i="105"/>
  <c r="M20" i="105"/>
  <c r="N20" i="105" s="1"/>
  <c r="M15" i="105"/>
  <c r="N15" i="105" s="1"/>
  <c r="W15" i="105" s="1"/>
  <c r="W18" i="105"/>
  <c r="M16" i="105"/>
  <c r="N16" i="105" s="1"/>
  <c r="M12" i="105"/>
  <c r="N12" i="105" s="1"/>
  <c r="M14" i="105"/>
  <c r="N14" i="105" s="1"/>
  <c r="W14" i="105" s="1"/>
  <c r="M17" i="105"/>
  <c r="N17" i="105" s="1"/>
  <c r="E40" i="113"/>
  <c r="E51" i="113" s="1"/>
  <c r="E52" i="113" s="1"/>
  <c r="E53" i="113" s="1"/>
  <c r="B12" i="113" s="1"/>
  <c r="P23" i="105"/>
  <c r="H13" i="105"/>
  <c r="I13" i="105" s="1"/>
  <c r="H14" i="105"/>
  <c r="I14" i="105" s="1"/>
  <c r="H15" i="105"/>
  <c r="I15" i="105" s="1"/>
  <c r="H16" i="105"/>
  <c r="I16" i="105" s="1"/>
  <c r="H17" i="105"/>
  <c r="I17" i="105" s="1"/>
  <c r="H18" i="105"/>
  <c r="I18" i="105" s="1"/>
  <c r="H19" i="105"/>
  <c r="I19" i="105" s="1"/>
  <c r="H21" i="105"/>
  <c r="I21" i="105" s="1"/>
  <c r="H22" i="105"/>
  <c r="I22" i="105" s="1"/>
  <c r="M6" i="105"/>
  <c r="W19" i="105" l="1"/>
  <c r="U22" i="105"/>
  <c r="W21" i="105"/>
  <c r="W13" i="105"/>
  <c r="W16" i="105"/>
  <c r="U16" i="105"/>
  <c r="U20" i="105"/>
  <c r="W20" i="105"/>
  <c r="W12" i="105"/>
  <c r="N23" i="105"/>
  <c r="U12" i="105"/>
  <c r="U17" i="105"/>
  <c r="W17" i="105"/>
  <c r="U14" i="105"/>
  <c r="U15" i="105"/>
  <c r="J10" i="106"/>
  <c r="J10" i="66"/>
  <c r="M4" i="105"/>
  <c r="M5" i="105"/>
  <c r="M3" i="105"/>
  <c r="J7" i="106"/>
  <c r="J8" i="106"/>
  <c r="J9" i="106"/>
  <c r="W23" i="105" l="1"/>
  <c r="L10" i="106"/>
  <c r="L8" i="106"/>
  <c r="L9" i="106"/>
  <c r="E44" i="107"/>
  <c r="E43" i="107"/>
  <c r="D42" i="107"/>
  <c r="E42" i="107" s="1"/>
  <c r="D41" i="107"/>
  <c r="E41" i="107" s="1"/>
  <c r="F12" i="106"/>
  <c r="J7" i="66"/>
  <c r="L7" i="106" s="1"/>
  <c r="E40" i="107" l="1"/>
  <c r="E53" i="107" s="1"/>
  <c r="E54" i="107" s="1"/>
  <c r="E55" i="107" s="1"/>
  <c r="B12" i="107" s="1"/>
  <c r="H12" i="105" l="1"/>
  <c r="I12" i="105" s="1"/>
  <c r="D41" i="45" l="1"/>
  <c r="E41" i="45" s="1"/>
  <c r="D42" i="45"/>
  <c r="E42" i="45" s="1"/>
  <c r="E43" i="45"/>
  <c r="D40" i="45"/>
  <c r="E40" i="45" l="1"/>
  <c r="E52" i="45"/>
  <c r="E53" i="45" s="1"/>
  <c r="E54" i="45" s="1"/>
  <c r="B12" i="45" l="1"/>
  <c r="E6" i="37"/>
  <c r="E7" i="37"/>
  <c r="E8" i="37"/>
  <c r="E5" i="37"/>
  <c r="D19" i="37"/>
  <c r="E19" i="37" s="1"/>
  <c r="G14" i="37" l="1"/>
  <c r="H14" i="3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-01</author>
  </authors>
  <commentList>
    <comment ref="J46" authorId="0" shapeId="0" xr:uid="{A8BCC0A8-4478-49B9-A33C-84FB9EB59056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46" authorId="0" shapeId="0" xr:uid="{8F5A8BCF-1264-485A-88F6-E10A5C4049FE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46" authorId="0" shapeId="0" xr:uid="{2C3E58B5-4955-45EF-99B2-60F13BE634D1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46" authorId="0" shapeId="0" xr:uid="{CFAB1064-322B-4110-815D-477BC9165A38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46" authorId="0" shapeId="0" xr:uid="{6B54EAA3-3C16-436D-A8FA-AAC7A997B2FA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46" authorId="0" shapeId="0" xr:uid="{2165DC63-7985-4F1E-8233-9428E17C68A0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-01</author>
  </authors>
  <commentList>
    <comment ref="J46" authorId="0" shapeId="0" xr:uid="{1BE69BF0-8290-49E0-8483-51A27B042CB2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46" authorId="0" shapeId="0" xr:uid="{F5199477-0244-4AAC-9D31-697C8F20C5E2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V46" authorId="0" shapeId="0" xr:uid="{D0925B89-2BA8-4855-A7C0-BAF1A5BEFD6E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46" authorId="0" shapeId="0" xr:uid="{3D5AEBE8-D14A-43C0-A51F-F3BA71704684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H46" authorId="0" shapeId="0" xr:uid="{D471589A-A206-40CA-BF40-F24B41A65877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N46" authorId="0" shapeId="0" xr:uid="{8CBAB0E2-2A54-4EAF-B846-0BB0ED26439E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-01</author>
  </authors>
  <commentList>
    <comment ref="J46" authorId="0" shapeId="0" xr:uid="{A02D60B6-9F22-446B-99B7-09AEBA5A3990}">
      <text>
        <r>
          <rPr>
            <b/>
            <sz val="9"/>
            <color indexed="81"/>
            <rFont val="Tahoma"/>
            <charset val="1"/>
          </rPr>
          <t>PC -01: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DD671D-6D02-433E-B288-48B0D9511811}" keepAlive="1" name="Query - HVAC - ACCESORIOS DUCTOS 2" description="Connection to the 'HVAC - ACCESORIOS DUCTOS 2' query in the workbook." type="5" refreshedVersion="8" background="1" saveData="1">
    <dbPr connection="Provider=Microsoft.Mashup.OleDb.1;Data Source=$Workbook$;Location=&quot;HVAC - ACCESORIOS DUCTOS 2&quot;;Extended Properties=&quot;&quot;" command="SELECT * FROM [HVAC - ACCESORIOS DUCTOS 2]"/>
  </connection>
  <connection id="2" xr16:uid="{B83CF4D1-E2D1-4B06-ACB6-E68611789701}" keepAlive="1" name="Query - HVAC - DUCTOS 2" description="Connection to the 'HVAC - DUCTOS 2' query in the workbook." type="5" refreshedVersion="8" background="1" saveData="1">
    <dbPr connection="Provider=Microsoft.Mashup.OleDb.1;Data Source=$Workbook$;Location=&quot;HVAC - DUCTOS 2&quot;;Extended Properties=&quot;&quot;" command="SELECT * FROM [HVAC - DUCTOS 2]"/>
  </connection>
  <connection id="3" xr16:uid="{5DA5DACD-AAA2-4CEF-AFD9-714C70F97FEA}" keepAlive="1" name="Query - HVAC - DUCTOS 2 (2)" description="Connection to the 'HVAC - DUCTOS 2 (2)' query in the workbook." type="5" refreshedVersion="8" background="1" saveData="1">
    <dbPr connection="Provider=Microsoft.Mashup.OleDb.1;Data Source=$Workbook$;Location=&quot;HVAC - DUCTOS 2 (2)&quot;;Extended Properties=&quot;&quot;" command="SELECT * FROM [HVAC - DUCTOS 2 (2)]"/>
  </connection>
</connections>
</file>

<file path=xl/sharedStrings.xml><?xml version="1.0" encoding="utf-8"?>
<sst xmlns="http://schemas.openxmlformats.org/spreadsheetml/2006/main" count="332" uniqueCount="135">
  <si>
    <t>VERTICALES</t>
  </si>
  <si>
    <t>TOTAL PISO 1</t>
  </si>
  <si>
    <t>TOTAL PISO 2</t>
  </si>
  <si>
    <t>TOTAL PISO 3</t>
  </si>
  <si>
    <t>TOTAL PISO 4</t>
  </si>
  <si>
    <t>TUB 1,1/2</t>
  </si>
  <si>
    <t>25 ACCS</t>
  </si>
  <si>
    <t>12M</t>
  </si>
  <si>
    <t>Versión: 01</t>
  </si>
  <si>
    <t>DISEÑO Y COORDINACIÓN</t>
  </si>
  <si>
    <t>Cargo</t>
  </si>
  <si>
    <t>Nombre</t>
  </si>
  <si>
    <t>Fecha</t>
  </si>
  <si>
    <t>Firma</t>
  </si>
  <si>
    <t>Elaboró</t>
  </si>
  <si>
    <t>Revisó</t>
  </si>
  <si>
    <t>Responsable de SGC</t>
  </si>
  <si>
    <t>Catherin Zamora</t>
  </si>
  <si>
    <t>Aprobó</t>
  </si>
  <si>
    <t xml:space="preserve">Historial del Documento </t>
  </si>
  <si>
    <t>Versión</t>
  </si>
  <si>
    <t xml:space="preserve">Descripción del cambio </t>
  </si>
  <si>
    <t xml:space="preserve">Aprobado </t>
  </si>
  <si>
    <t>01</t>
  </si>
  <si>
    <t>Emisión del documento</t>
  </si>
  <si>
    <t>MEMORIAS DE CÁLCULO</t>
  </si>
  <si>
    <t>FECHA</t>
  </si>
  <si>
    <t>ETAPA</t>
  </si>
  <si>
    <t>Cód COO-FR-003</t>
  </si>
  <si>
    <t>DISCIPLINA</t>
  </si>
  <si>
    <t>---</t>
  </si>
  <si>
    <t>Coordinadora junior</t>
  </si>
  <si>
    <t>Luisa Ramirez</t>
  </si>
  <si>
    <t>Director del proyecto</t>
  </si>
  <si>
    <t>Coordinador del proyecto</t>
  </si>
  <si>
    <t>Elaborado por</t>
  </si>
  <si>
    <t>Fecha Actualización</t>
  </si>
  <si>
    <t>Fecha: 22/11/08</t>
  </si>
  <si>
    <t>CAIDA DE PRESION VENTILADOR</t>
  </si>
  <si>
    <t>TAG equipo</t>
  </si>
  <si>
    <t>Area atendida</t>
  </si>
  <si>
    <t>Caudal (Cfm)</t>
  </si>
  <si>
    <t>Caida de presion (in c.a)</t>
  </si>
  <si>
    <t>Velocidad Inicial (fpm)</t>
  </si>
  <si>
    <t>caida de presion por cada 100 Ft en pulg c.a</t>
  </si>
  <si>
    <t>Descripcion</t>
  </si>
  <si>
    <t>Und</t>
  </si>
  <si>
    <t>cantidad</t>
  </si>
  <si>
    <t>Caida de presion por elemento Pulg c.a</t>
  </si>
  <si>
    <t>Caida de presion por renglon pulg c.a</t>
  </si>
  <si>
    <t>Tramos rectos</t>
  </si>
  <si>
    <t>FT</t>
  </si>
  <si>
    <t>Caida de presion externa (pulg c.a)</t>
  </si>
  <si>
    <t xml:space="preserve">Factor de seguridad </t>
  </si>
  <si>
    <t>Total caida de presion externa (pulg c.a)</t>
  </si>
  <si>
    <t>HVAC</t>
  </si>
  <si>
    <t>Espacio</t>
  </si>
  <si>
    <t>Área (m2)</t>
  </si>
  <si>
    <t>N6</t>
  </si>
  <si>
    <t>Extracción mecánica de baños en zonas comunes</t>
  </si>
  <si>
    <t>Descripción</t>
  </si>
  <si>
    <t>Número de aparatos sanitarios</t>
  </si>
  <si>
    <t>Caudal (CFM)</t>
  </si>
  <si>
    <t>Ing. Pedro Díaz</t>
  </si>
  <si>
    <t>Ing. David Alarcón</t>
  </si>
  <si>
    <t>Versión 1</t>
  </si>
  <si>
    <t>PROYECTO</t>
  </si>
  <si>
    <t>Codos 90°</t>
  </si>
  <si>
    <t>Codos 45°</t>
  </si>
  <si>
    <t>Caudal Considerado (CFM)</t>
  </si>
  <si>
    <t>Fecha: 23/11/13</t>
  </si>
  <si>
    <t>Versión: 1,2</t>
  </si>
  <si>
    <t>Nivel</t>
  </si>
  <si>
    <t>Ventilación mecánica de Zonas Comunes</t>
  </si>
  <si>
    <t>Rata de ventilación (CFM/ft2)</t>
  </si>
  <si>
    <t>Rata de ventilación por persona (CFM/Persona)</t>
  </si>
  <si>
    <t>#Personas medido</t>
  </si>
  <si>
    <t>#Personas considerado</t>
  </si>
  <si>
    <t>Rata de extracción  (CFM/ft2)</t>
  </si>
  <si>
    <t>Equipo</t>
  </si>
  <si>
    <t>VE-01</t>
  </si>
  <si>
    <t>Rata de extracción - Baños (CFM / Unidad)</t>
  </si>
  <si>
    <t>VS-01</t>
  </si>
  <si>
    <t>VE-02</t>
  </si>
  <si>
    <t>VE-03</t>
  </si>
  <si>
    <t>VS-02</t>
  </si>
  <si>
    <t>VS-03</t>
  </si>
  <si>
    <t>TOTALES</t>
  </si>
  <si>
    <t>VS-04</t>
  </si>
  <si>
    <t>OFICINAS FUNDACIÓN</t>
  </si>
  <si>
    <t>Mariana Acosta</t>
  </si>
  <si>
    <t>Sala principal / Telepresencia</t>
  </si>
  <si>
    <t xml:space="preserve">Sala 1 </t>
  </si>
  <si>
    <t>Oficina 4</t>
  </si>
  <si>
    <t>Oficina principal</t>
  </si>
  <si>
    <t>Oficina 3</t>
  </si>
  <si>
    <t>Oficina 2</t>
  </si>
  <si>
    <t>Oficina 1</t>
  </si>
  <si>
    <t>Cafetería</t>
  </si>
  <si>
    <t>Zona general 1</t>
  </si>
  <si>
    <t>Zona general 2</t>
  </si>
  <si>
    <t>Baños generales</t>
  </si>
  <si>
    <t>Aseo</t>
  </si>
  <si>
    <t>Depósito</t>
  </si>
  <si>
    <t>Sala principal</t>
  </si>
  <si>
    <t>Sala 1</t>
  </si>
  <si>
    <t>Cto rack</t>
  </si>
  <si>
    <t>Cto equipos AA</t>
  </si>
  <si>
    <t>Baño PMR</t>
  </si>
  <si>
    <t>Oficina pincipal</t>
  </si>
  <si>
    <t>Zona gral 1</t>
  </si>
  <si>
    <t>Zona gral 2</t>
  </si>
  <si>
    <t>Baños</t>
  </si>
  <si>
    <t>Carga total ILU (KVA)</t>
  </si>
  <si>
    <t>Carga total ILU (kW).</t>
  </si>
  <si>
    <t xml:space="preserve"> (kw/m2)</t>
  </si>
  <si>
    <t>Oficinas Fundación Rockefeller</t>
  </si>
  <si>
    <t>Sala de telepresencia, Sala 1, Oficina 4, Sala 1, Oficina principal, Oficina 3, Oficina 2, Oficina 1, Zona general 1, ona general 2</t>
  </si>
  <si>
    <t>CARGAS INTERNAS SENSIBLES</t>
  </si>
  <si>
    <t>Ocupacion(btuh)</t>
  </si>
  <si>
    <t>Iluminacion y equipos( btuh)</t>
  </si>
  <si>
    <t>TOTAL</t>
  </si>
  <si>
    <t>ILUMINACION</t>
  </si>
  <si>
    <t xml:space="preserve">Ventilacion </t>
  </si>
  <si>
    <t>Vidrio sombra (Transmicion)</t>
  </si>
  <si>
    <t>Vidrio  (Radiacion)</t>
  </si>
  <si>
    <t>CRITICO</t>
  </si>
  <si>
    <t>DIFERENCIAL</t>
  </si>
  <si>
    <t>Baños generales y cuarto de aseo</t>
  </si>
  <si>
    <t>Baño de movilidad reducida</t>
  </si>
  <si>
    <t>EI-01</t>
  </si>
  <si>
    <t>ANTEPROYECTO</t>
  </si>
  <si>
    <t>Versión 2</t>
  </si>
  <si>
    <r>
      <rPr>
        <b/>
        <sz val="11"/>
        <color theme="1"/>
        <rFont val="Arial Narrow"/>
        <family val="2"/>
      </rPr>
      <t>Nota:</t>
    </r>
    <r>
      <rPr>
        <sz val="11"/>
        <color theme="1"/>
        <rFont val="Arial Narrow"/>
        <family val="2"/>
      </rPr>
      <t xml:space="preserve"> factor de seguridad en caida de presion para absorver cambios de ruta en construccion y  caida de presion por los elementos necesarios para el balance del sistema (Splitter damper, damper de balanceo, deflectores etc)</t>
    </r>
  </si>
  <si>
    <t>No. Ruta Critica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</si>
</sst>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164" formatCode="_ &quot;$&quot;\ * #,##0_ ;_ &quot;$&quot;\ * \-#,##0_ ;_ &quot;$&quot;\ * &quot;-&quot;_ ;_ @_ "/>
    <numFmt numFmtId="165" formatCode="_ [$€-2]\ * #,##0.00_ ;_ [$€-2]\ * \-#,##0.00_ ;_ [$€-2]\ * &quot;-&quot;??_ "/>
    <numFmt numFmtId="166" formatCode="_ * #,##0_ ;_ * \-#,##0_ ;_ * &quot;-&quot;_ ;_ @_ "/>
    <numFmt numFmtId="167" formatCode="&quot;$&quot;\ #,##0.00;&quot;$&quot;\ \-#,##0.00"/>
    <numFmt numFmtId="168" formatCode="_ * #,##0.00_ ;_ * \-#,##0.00_ ;_ * &quot;-&quot;??_ ;_ @_ "/>
    <numFmt numFmtId="169" formatCode="_ &quot;$&quot;\ * #,##0.00_ ;_ &quot;$&quot;\ * \-#,##0.00_ ;_ &quot;$&quot;\ * &quot;-&quot;??_ ;_ @_ "/>
    <numFmt numFmtId="170" formatCode="&quot;$&quot;\ #,##0.00;[Red]&quot;$&quot;\ \-#,##0.00"/>
    <numFmt numFmtId="171" formatCode="yyyy/mm/dd;@"/>
    <numFmt numFmtId="172" formatCode="_-[$$-240A]* #,##0_-;\-[$$-240A]* #,##0_-;_-[$$-240A]* &quot;-&quot;??_-;_-@_-"/>
    <numFmt numFmtId="173" formatCode="_-* #,##0.00\ [$€]_-;\-* #,##0.00\ [$€]_-;_-* &quot;-&quot;??\ [$€]_-;_-@_-"/>
    <numFmt numFmtId="174" formatCode="_(&quot;$&quot;\ * #,##0.00_);_(&quot;$&quot;\ * \(#,##0.00\);_(&quot;$&quot;\ * &quot;-&quot;??_);_(@_)"/>
    <numFmt numFmtId="175" formatCode="#,##0_ ;\-#,##0\ "/>
    <numFmt numFmtId="176" formatCode="#,##0.00_ ;\-#,##0.00\ "/>
    <numFmt numFmtId="177" formatCode="_-[$$-240A]\ * #,##0.00_-;\-[$$-240A]\ * #,##0.00_-;_-[$$-240A]\ * &quot;-&quot;??_-;_-@_-"/>
    <numFmt numFmtId="178" formatCode="#,##0.000_ ;\-#,##0.000\ "/>
    <numFmt numFmtId="179" formatCode="_-* #,##0.00\ [$€]_-;\-* #,##0.00\ [$€]_-;_-* &quot;-&quot;??\ [$€]_-;_-@"/>
    <numFmt numFmtId="180" formatCode="0.0"/>
    <numFmt numFmtId="181" formatCode="0.00000"/>
    <numFmt numFmtId="182" formatCode="0.000"/>
    <numFmt numFmtId="183" formatCode="#,##0.000"/>
  </numFmts>
  <fonts count="30">
    <font>
      <sz val="10"/>
      <color indexed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2"/>
      <color theme="1"/>
      <name val="Arial Narrow"/>
      <family val="2"/>
    </font>
    <font>
      <sz val="12"/>
      <name val="Arial"/>
      <family val="2"/>
    </font>
    <font>
      <b/>
      <sz val="14"/>
      <color theme="1"/>
      <name val="Arial Narrow"/>
      <family val="2"/>
    </font>
    <font>
      <sz val="14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 Narrow"/>
      <family val="2"/>
    </font>
    <font>
      <sz val="12"/>
      <name val="Arial Narrow"/>
      <family val="2"/>
    </font>
    <font>
      <sz val="11"/>
      <color theme="1"/>
      <name val="Arial Narrow"/>
      <family val="2"/>
    </font>
    <font>
      <sz val="11"/>
      <name val="Futura LT Book"/>
    </font>
    <font>
      <sz val="10"/>
      <color indexed="24"/>
      <name val="Arial"/>
      <family val="2"/>
    </font>
    <font>
      <b/>
      <sz val="12"/>
      <color rgb="FF000000"/>
      <name val="Arial Narrow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 Narrow"/>
      <family val="2"/>
    </font>
    <font>
      <sz val="11"/>
      <color theme="1"/>
      <name val="Poppins"/>
    </font>
    <font>
      <sz val="8"/>
      <name val="Arial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1"/>
      <name val="Arial Narrow"/>
      <family val="2"/>
    </font>
    <font>
      <b/>
      <sz val="11"/>
      <color theme="1"/>
      <name val="Arial Narrow"/>
      <family val="2"/>
    </font>
    <font>
      <b/>
      <sz val="10"/>
      <color indexed="8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rgb="FF4C6674"/>
        <bgColor rgb="FFFFF2CC"/>
      </patternFill>
    </fill>
    <fill>
      <patternFill patternType="solid">
        <fgColor rgb="FF7C93A0"/>
        <b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C93A0"/>
        <bgColor rgb="FF7C93A0"/>
      </patternFill>
    </fill>
    <fill>
      <patternFill patternType="solid">
        <fgColor rgb="FFCCD5DA"/>
        <bgColor rgb="FFCCD5DA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4C6674"/>
      </left>
      <right style="thin">
        <color rgb="FF4C6674"/>
      </right>
      <top style="thin">
        <color rgb="FF4C6674"/>
      </top>
      <bottom style="thin">
        <color rgb="FF4C667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52">
    <xf numFmtId="0" fontId="0" fillId="0" borderId="0"/>
    <xf numFmtId="0" fontId="4" fillId="0" borderId="0"/>
    <xf numFmtId="0" fontId="3" fillId="0" borderId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172" fontId="2" fillId="0" borderId="0"/>
    <xf numFmtId="173" fontId="4" fillId="0" borderId="0"/>
    <xf numFmtId="3" fontId="16" fillId="0" borderId="0" applyFont="0" applyFill="0" applyBorder="0" applyAlignment="0" applyProtection="0"/>
    <xf numFmtId="172" fontId="4" fillId="0" borderId="0"/>
    <xf numFmtId="17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172" fontId="1" fillId="0" borderId="0"/>
    <xf numFmtId="17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5">
    <xf numFmtId="0" fontId="0" fillId="0" borderId="0" xfId="0"/>
    <xf numFmtId="9" fontId="0" fillId="0" borderId="0" xfId="0" applyNumberFormat="1"/>
    <xf numFmtId="1" fontId="0" fillId="0" borderId="0" xfId="0" applyNumberFormat="1"/>
    <xf numFmtId="0" fontId="6" fillId="0" borderId="0" xfId="40" applyFont="1"/>
    <xf numFmtId="0" fontId="10" fillId="0" borderId="0" xfId="40" applyFont="1"/>
    <xf numFmtId="0" fontId="6" fillId="2" borderId="15" xfId="40" applyFont="1" applyFill="1" applyBorder="1"/>
    <xf numFmtId="0" fontId="6" fillId="2" borderId="15" xfId="40" applyFont="1" applyFill="1" applyBorder="1" applyAlignment="1">
      <alignment horizontal="center"/>
    </xf>
    <xf numFmtId="0" fontId="6" fillId="0" borderId="15" xfId="40" applyFont="1" applyBorder="1" applyAlignment="1">
      <alignment horizontal="center" vertical="center"/>
    </xf>
    <xf numFmtId="0" fontId="6" fillId="0" borderId="15" xfId="40" applyFont="1" applyBorder="1" applyAlignment="1">
      <alignment vertical="center" wrapText="1"/>
    </xf>
    <xf numFmtId="171" fontId="6" fillId="0" borderId="15" xfId="40" applyNumberFormat="1" applyFont="1" applyBorder="1" applyAlignment="1">
      <alignment horizontal="center" vertical="center"/>
    </xf>
    <xf numFmtId="0" fontId="6" fillId="3" borderId="15" xfId="40" applyFont="1" applyFill="1" applyBorder="1" applyAlignment="1">
      <alignment horizontal="center" vertical="center"/>
    </xf>
    <xf numFmtId="0" fontId="13" fillId="3" borderId="15" xfId="40" applyFont="1" applyFill="1" applyBorder="1" applyAlignment="1">
      <alignment vertical="center" wrapText="1"/>
    </xf>
    <xf numFmtId="171" fontId="6" fillId="3" borderId="15" xfId="40" applyNumberFormat="1" applyFont="1" applyFill="1" applyBorder="1" applyAlignment="1">
      <alignment horizontal="center" vertical="center"/>
    </xf>
    <xf numFmtId="0" fontId="13" fillId="0" borderId="15" xfId="40" applyFont="1" applyBorder="1" applyAlignment="1">
      <alignment vertical="center" wrapText="1"/>
    </xf>
    <xf numFmtId="0" fontId="12" fillId="0" borderId="16" xfId="40" applyFont="1" applyBorder="1" applyAlignment="1">
      <alignment horizontal="center"/>
    </xf>
    <xf numFmtId="0" fontId="12" fillId="0" borderId="17" xfId="40" applyFont="1" applyBorder="1" applyAlignment="1">
      <alignment horizontal="center"/>
    </xf>
    <xf numFmtId="49" fontId="6" fillId="0" borderId="16" xfId="40" applyNumberFormat="1" applyFont="1" applyBorder="1" applyAlignment="1">
      <alignment horizontal="center"/>
    </xf>
    <xf numFmtId="171" fontId="6" fillId="0" borderId="1" xfId="40" applyNumberFormat="1" applyFont="1" applyBorder="1" applyAlignment="1">
      <alignment horizontal="center" vertical="center"/>
    </xf>
    <xf numFmtId="0" fontId="6" fillId="0" borderId="9" xfId="40" applyFont="1" applyBorder="1" applyAlignment="1">
      <alignment horizontal="center"/>
    </xf>
    <xf numFmtId="0" fontId="6" fillId="0" borderId="0" xfId="40" applyFont="1" applyAlignment="1">
      <alignment horizontal="center"/>
    </xf>
    <xf numFmtId="172" fontId="5" fillId="0" borderId="0" xfId="41" applyFont="1"/>
    <xf numFmtId="172" fontId="5" fillId="0" borderId="32" xfId="41" applyFont="1" applyBorder="1" applyAlignment="1">
      <alignment horizontal="center" vertical="center"/>
    </xf>
    <xf numFmtId="172" fontId="5" fillId="0" borderId="1" xfId="41" applyFont="1" applyBorder="1" applyAlignment="1">
      <alignment horizontal="center" vertical="center"/>
    </xf>
    <xf numFmtId="173" fontId="15" fillId="0" borderId="0" xfId="42" applyFont="1" applyAlignment="1">
      <alignment horizontal="center" vertical="center"/>
    </xf>
    <xf numFmtId="172" fontId="5" fillId="7" borderId="0" xfId="41" applyFont="1" applyFill="1"/>
    <xf numFmtId="0" fontId="6" fillId="0" borderId="0" xfId="0" applyFont="1"/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17" fillId="7" borderId="0" xfId="0" applyFont="1" applyFill="1"/>
    <xf numFmtId="0" fontId="12" fillId="7" borderId="0" xfId="0" applyFont="1" applyFill="1"/>
    <xf numFmtId="0" fontId="14" fillId="7" borderId="46" xfId="0" applyFont="1" applyFill="1" applyBorder="1"/>
    <xf numFmtId="0" fontId="14" fillId="0" borderId="16" xfId="0" applyFont="1" applyBorder="1" applyAlignment="1">
      <alignment horizontal="center" vertical="center"/>
    </xf>
    <xf numFmtId="0" fontId="5" fillId="7" borderId="47" xfId="0" applyFont="1" applyFill="1" applyBorder="1"/>
    <xf numFmtId="0" fontId="5" fillId="7" borderId="24" xfId="0" applyFont="1" applyFill="1" applyBorder="1"/>
    <xf numFmtId="179" fontId="2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181" fontId="5" fillId="0" borderId="0" xfId="41" applyNumberFormat="1" applyFont="1"/>
    <xf numFmtId="0" fontId="14" fillId="7" borderId="37" xfId="0" applyFont="1" applyFill="1" applyBorder="1"/>
    <xf numFmtId="0" fontId="5" fillId="0" borderId="1" xfId="41" applyNumberFormat="1" applyFont="1" applyBorder="1" applyAlignment="1">
      <alignment horizontal="center" vertical="center"/>
    </xf>
    <xf numFmtId="2" fontId="5" fillId="0" borderId="32" xfId="41" applyNumberFormat="1" applyFont="1" applyBorder="1" applyAlignment="1">
      <alignment horizontal="center" vertical="center"/>
    </xf>
    <xf numFmtId="1" fontId="5" fillId="0" borderId="32" xfId="41" applyNumberFormat="1" applyFont="1" applyBorder="1" applyAlignment="1">
      <alignment horizontal="center" vertical="center"/>
    </xf>
    <xf numFmtId="172" fontId="5" fillId="0" borderId="29" xfId="41" applyFont="1" applyBorder="1" applyAlignment="1">
      <alignment horizontal="center" vertical="center"/>
    </xf>
    <xf numFmtId="2" fontId="5" fillId="0" borderId="29" xfId="41" applyNumberFormat="1" applyFont="1" applyBorder="1" applyAlignment="1">
      <alignment horizontal="center" vertical="center"/>
    </xf>
    <xf numFmtId="1" fontId="5" fillId="0" borderId="29" xfId="41" applyNumberFormat="1" applyFont="1" applyBorder="1" applyAlignment="1">
      <alignment horizontal="center" vertical="center"/>
    </xf>
    <xf numFmtId="1" fontId="5" fillId="0" borderId="30" xfId="41" applyNumberFormat="1" applyFont="1" applyBorder="1" applyAlignment="1">
      <alignment horizontal="center" vertical="center"/>
    </xf>
    <xf numFmtId="0" fontId="5" fillId="0" borderId="0" xfId="41" applyNumberFormat="1" applyFont="1"/>
    <xf numFmtId="172" fontId="19" fillId="0" borderId="58" xfId="41" applyFont="1" applyBorder="1" applyAlignment="1">
      <alignment horizontal="center" vertical="center"/>
    </xf>
    <xf numFmtId="172" fontId="19" fillId="0" borderId="40" xfId="41" applyFont="1" applyBorder="1" applyAlignment="1">
      <alignment horizontal="center" vertical="center"/>
    </xf>
    <xf numFmtId="172" fontId="19" fillId="0" borderId="38" xfId="41" applyFont="1" applyBorder="1" applyAlignment="1">
      <alignment horizontal="center" vertical="center" wrapText="1"/>
    </xf>
    <xf numFmtId="172" fontId="19" fillId="0" borderId="38" xfId="41" applyFont="1" applyBorder="1" applyAlignment="1">
      <alignment horizontal="center" vertical="center"/>
    </xf>
    <xf numFmtId="172" fontId="19" fillId="0" borderId="39" xfId="41" applyFont="1" applyBorder="1" applyAlignment="1">
      <alignment horizontal="center" vertical="center" wrapText="1"/>
    </xf>
    <xf numFmtId="0" fontId="14" fillId="7" borderId="53" xfId="0" applyFont="1" applyFill="1" applyBorder="1"/>
    <xf numFmtId="0" fontId="14" fillId="7" borderId="55" xfId="0" applyFont="1" applyFill="1" applyBorder="1"/>
    <xf numFmtId="182" fontId="0" fillId="0" borderId="0" xfId="0" applyNumberFormat="1"/>
    <xf numFmtId="1" fontId="5" fillId="0" borderId="33" xfId="41" applyNumberFormat="1" applyFont="1" applyBorder="1" applyAlignment="1">
      <alignment horizontal="center" vertical="center"/>
    </xf>
    <xf numFmtId="0" fontId="24" fillId="0" borderId="0" xfId="0" applyFont="1"/>
    <xf numFmtId="0" fontId="24" fillId="7" borderId="0" xfId="0" applyFont="1" applyFill="1"/>
    <xf numFmtId="172" fontId="14" fillId="0" borderId="0" xfId="41" applyFont="1"/>
    <xf numFmtId="0" fontId="14" fillId="7" borderId="47" xfId="0" applyFont="1" applyFill="1" applyBorder="1"/>
    <xf numFmtId="173" fontId="25" fillId="0" borderId="0" xfId="42" applyFont="1" applyAlignment="1">
      <alignment horizontal="center" vertical="center"/>
    </xf>
    <xf numFmtId="0" fontId="14" fillId="7" borderId="24" xfId="0" applyFont="1" applyFill="1" applyBorder="1"/>
    <xf numFmtId="179" fontId="14" fillId="0" borderId="19" xfId="0" applyNumberFormat="1" applyFont="1" applyBorder="1" applyAlignment="1">
      <alignment horizontal="center" vertical="center"/>
    </xf>
    <xf numFmtId="179" fontId="14" fillId="0" borderId="9" xfId="0" applyNumberFormat="1" applyFont="1" applyBorder="1" applyAlignment="1">
      <alignment horizontal="center" vertical="center"/>
    </xf>
    <xf numFmtId="179" fontId="14" fillId="0" borderId="7" xfId="0" applyNumberFormat="1" applyFont="1" applyBorder="1" applyAlignment="1">
      <alignment horizontal="center" vertical="center"/>
    </xf>
    <xf numFmtId="179" fontId="14" fillId="0" borderId="18" xfId="0" applyNumberFormat="1" applyFont="1" applyBorder="1" applyAlignment="1">
      <alignment horizontal="center" vertical="center"/>
    </xf>
    <xf numFmtId="179" fontId="14" fillId="7" borderId="48" xfId="0" applyNumberFormat="1" applyFont="1" applyFill="1" applyBorder="1" applyAlignment="1">
      <alignment horizontal="center" vertical="center"/>
    </xf>
    <xf numFmtId="173" fontId="25" fillId="7" borderId="0" xfId="42" applyFont="1" applyFill="1" applyAlignment="1">
      <alignment horizontal="center" vertical="center"/>
    </xf>
    <xf numFmtId="172" fontId="26" fillId="0" borderId="24" xfId="41" applyFont="1" applyBorder="1"/>
    <xf numFmtId="172" fontId="8" fillId="0" borderId="24" xfId="41" applyFont="1" applyBorder="1" applyAlignment="1">
      <alignment horizontal="center"/>
    </xf>
    <xf numFmtId="172" fontId="8" fillId="7" borderId="0" xfId="41" applyFont="1" applyFill="1" applyAlignment="1">
      <alignment horizontal="center"/>
    </xf>
    <xf numFmtId="172" fontId="26" fillId="0" borderId="1" xfId="41" applyFont="1" applyBorder="1" applyAlignment="1">
      <alignment vertical="center"/>
    </xf>
    <xf numFmtId="172" fontId="14" fillId="0" borderId="1" xfId="41" applyFont="1" applyBorder="1" applyAlignment="1">
      <alignment horizontal="center" wrapText="1"/>
    </xf>
    <xf numFmtId="172" fontId="14" fillId="7" borderId="0" xfId="41" applyFont="1" applyFill="1"/>
    <xf numFmtId="172" fontId="26" fillId="4" borderId="1" xfId="41" applyFont="1" applyFill="1" applyBorder="1"/>
    <xf numFmtId="175" fontId="26" fillId="4" borderId="1" xfId="41" applyNumberFormat="1" applyFont="1" applyFill="1" applyBorder="1" applyAlignment="1">
      <alignment horizontal="center"/>
    </xf>
    <xf numFmtId="176" fontId="26" fillId="4" borderId="1" xfId="41" applyNumberFormat="1" applyFont="1" applyFill="1" applyBorder="1" applyAlignment="1">
      <alignment horizontal="center"/>
    </xf>
    <xf numFmtId="177" fontId="14" fillId="7" borderId="0" xfId="41" applyNumberFormat="1" applyFont="1" applyFill="1"/>
    <xf numFmtId="175" fontId="14" fillId="4" borderId="1" xfId="41" applyNumberFormat="1" applyFont="1" applyFill="1" applyBorder="1" applyAlignment="1">
      <alignment horizontal="center"/>
    </xf>
    <xf numFmtId="176" fontId="14" fillId="4" borderId="1" xfId="41" applyNumberFormat="1" applyFont="1" applyFill="1" applyBorder="1" applyAlignment="1">
      <alignment horizontal="center" vertical="center" wrapText="1"/>
    </xf>
    <xf numFmtId="172" fontId="26" fillId="5" borderId="20" xfId="41" applyFont="1" applyFill="1" applyBorder="1" applyAlignment="1">
      <alignment horizontal="center" vertical="center"/>
    </xf>
    <xf numFmtId="172" fontId="26" fillId="5" borderId="21" xfId="41" applyFont="1" applyFill="1" applyBorder="1" applyAlignment="1">
      <alignment horizontal="center" vertical="center"/>
    </xf>
    <xf numFmtId="172" fontId="26" fillId="5" borderId="21" xfId="41" applyFont="1" applyFill="1" applyBorder="1" applyAlignment="1">
      <alignment horizontal="center" vertical="center" wrapText="1"/>
    </xf>
    <xf numFmtId="172" fontId="26" fillId="5" borderId="22" xfId="41" applyFont="1" applyFill="1" applyBorder="1" applyAlignment="1">
      <alignment vertical="center" wrapText="1"/>
    </xf>
    <xf numFmtId="172" fontId="14" fillId="0" borderId="23" xfId="41" applyFont="1" applyBorder="1" applyAlignment="1">
      <alignment horizontal="left" vertical="center" wrapText="1"/>
    </xf>
    <xf numFmtId="172" fontId="14" fillId="0" borderId="24" xfId="41" applyFont="1" applyBorder="1" applyAlignment="1">
      <alignment horizontal="center"/>
    </xf>
    <xf numFmtId="175" fontId="14" fillId="0" borderId="24" xfId="41" applyNumberFormat="1" applyFont="1" applyBorder="1" applyAlignment="1">
      <alignment horizontal="center" vertical="center" wrapText="1"/>
    </xf>
    <xf numFmtId="178" fontId="14" fillId="0" borderId="24" xfId="41" applyNumberFormat="1" applyFont="1" applyBorder="1" applyAlignment="1">
      <alignment horizontal="center" vertical="center" wrapText="1"/>
    </xf>
    <xf numFmtId="178" fontId="14" fillId="0" borderId="25" xfId="41" applyNumberFormat="1" applyFont="1" applyBorder="1" applyAlignment="1">
      <alignment horizontal="center" vertical="center" wrapText="1"/>
    </xf>
    <xf numFmtId="172" fontId="14" fillId="0" borderId="26" xfId="41" applyFont="1" applyBorder="1" applyAlignment="1">
      <alignment horizontal="left" vertical="center"/>
    </xf>
    <xf numFmtId="172" fontId="14" fillId="0" borderId="1" xfId="41" applyFont="1" applyBorder="1" applyAlignment="1">
      <alignment horizontal="center"/>
    </xf>
    <xf numFmtId="175" fontId="14" fillId="0" borderId="1" xfId="41" applyNumberFormat="1" applyFont="1" applyBorder="1" applyAlignment="1">
      <alignment horizontal="center" vertical="center"/>
    </xf>
    <xf numFmtId="178" fontId="14" fillId="0" borderId="1" xfId="41" applyNumberFormat="1" applyFont="1" applyBorder="1" applyAlignment="1">
      <alignment horizontal="center" vertical="center" wrapText="1"/>
    </xf>
    <xf numFmtId="178" fontId="14" fillId="0" borderId="27" xfId="41" applyNumberFormat="1" applyFont="1" applyBorder="1" applyAlignment="1">
      <alignment horizontal="center" vertical="center" wrapText="1"/>
    </xf>
    <xf numFmtId="175" fontId="14" fillId="0" borderId="46" xfId="41" applyNumberFormat="1" applyFont="1" applyBorder="1" applyAlignment="1">
      <alignment horizontal="center" vertical="center"/>
    </xf>
    <xf numFmtId="178" fontId="14" fillId="0" borderId="34" xfId="41" applyNumberFormat="1" applyFont="1" applyBorder="1" applyAlignment="1">
      <alignment horizontal="center" vertical="center" wrapText="1"/>
    </xf>
    <xf numFmtId="172" fontId="14" fillId="0" borderId="29" xfId="41" applyFont="1" applyBorder="1" applyAlignment="1">
      <alignment horizontal="center"/>
    </xf>
    <xf numFmtId="175" fontId="14" fillId="0" borderId="29" xfId="41" applyNumberFormat="1" applyFont="1" applyBorder="1" applyAlignment="1">
      <alignment horizontal="center" vertical="center"/>
    </xf>
    <xf numFmtId="178" fontId="14" fillId="0" borderId="29" xfId="41" applyNumberFormat="1" applyFont="1" applyBorder="1" applyAlignment="1">
      <alignment horizontal="center" vertical="center" wrapText="1"/>
    </xf>
    <xf numFmtId="172" fontId="14" fillId="0" borderId="31" xfId="41" applyFont="1" applyBorder="1" applyAlignment="1">
      <alignment horizontal="left" vertical="center"/>
    </xf>
    <xf numFmtId="172" fontId="14" fillId="0" borderId="32" xfId="41" applyFont="1" applyBorder="1"/>
    <xf numFmtId="172" fontId="14" fillId="0" borderId="32" xfId="41" applyFont="1" applyBorder="1" applyAlignment="1">
      <alignment horizontal="center" vertical="center"/>
    </xf>
    <xf numFmtId="172" fontId="14" fillId="0" borderId="32" xfId="41" applyFont="1" applyBorder="1" applyAlignment="1">
      <alignment vertical="center"/>
    </xf>
    <xf numFmtId="178" fontId="14" fillId="0" borderId="33" xfId="41" applyNumberFormat="1" applyFont="1" applyBorder="1" applyAlignment="1">
      <alignment horizontal="center" vertical="center" wrapText="1"/>
    </xf>
    <xf numFmtId="9" fontId="14" fillId="0" borderId="1" xfId="41" applyNumberFormat="1" applyFont="1" applyBorder="1" applyAlignment="1">
      <alignment horizontal="center"/>
    </xf>
    <xf numFmtId="172" fontId="14" fillId="0" borderId="1" xfId="41" applyFont="1" applyBorder="1" applyAlignment="1">
      <alignment horizontal="center" vertical="center"/>
    </xf>
    <xf numFmtId="172" fontId="14" fillId="0" borderId="1" xfId="41" applyFont="1" applyBorder="1" applyAlignment="1">
      <alignment vertical="center"/>
    </xf>
    <xf numFmtId="172" fontId="14" fillId="0" borderId="28" xfId="41" applyFont="1" applyBorder="1" applyAlignment="1">
      <alignment horizontal="left"/>
    </xf>
    <xf numFmtId="172" fontId="14" fillId="0" borderId="29" xfId="41" applyFont="1" applyBorder="1"/>
    <xf numFmtId="172" fontId="14" fillId="0" borderId="35" xfId="41" applyFont="1" applyBorder="1"/>
    <xf numFmtId="178" fontId="14" fillId="6" borderId="36" xfId="41" applyNumberFormat="1" applyFont="1" applyFill="1" applyBorder="1" applyAlignment="1">
      <alignment horizontal="center" vertical="center" wrapText="1"/>
    </xf>
    <xf numFmtId="172" fontId="14" fillId="0" borderId="1" xfId="41" applyFont="1" applyBorder="1" applyAlignment="1">
      <alignment horizontal="center" vertical="center" wrapText="1"/>
    </xf>
    <xf numFmtId="172" fontId="14" fillId="0" borderId="28" xfId="41" applyFont="1" applyBorder="1" applyAlignment="1">
      <alignment horizontal="center" vertical="center"/>
    </xf>
    <xf numFmtId="2" fontId="25" fillId="0" borderId="1" xfId="42" applyNumberFormat="1" applyFont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2" fontId="25" fillId="0" borderId="0" xfId="42" applyNumberFormat="1" applyFont="1" applyAlignment="1">
      <alignment horizontal="center" vertical="center"/>
    </xf>
    <xf numFmtId="172" fontId="26" fillId="0" borderId="58" xfId="41" applyFont="1" applyBorder="1" applyAlignment="1">
      <alignment horizontal="center" vertical="center"/>
    </xf>
    <xf numFmtId="172" fontId="26" fillId="0" borderId="40" xfId="41" applyFont="1" applyBorder="1" applyAlignment="1">
      <alignment horizontal="center" vertical="center"/>
    </xf>
    <xf numFmtId="172" fontId="26" fillId="0" borderId="38" xfId="41" applyFont="1" applyBorder="1" applyAlignment="1">
      <alignment horizontal="center" vertical="center" wrapText="1"/>
    </xf>
    <xf numFmtId="172" fontId="26" fillId="0" borderId="38" xfId="41" applyFont="1" applyBorder="1" applyAlignment="1">
      <alignment horizontal="center" vertical="center"/>
    </xf>
    <xf numFmtId="172" fontId="26" fillId="0" borderId="39" xfId="41" applyFont="1" applyBorder="1" applyAlignment="1">
      <alignment horizontal="center" vertical="center" wrapText="1"/>
    </xf>
    <xf numFmtId="172" fontId="26" fillId="11" borderId="41" xfId="41" applyFont="1" applyFill="1" applyBorder="1" applyAlignment="1">
      <alignment horizontal="center" vertical="center" wrapText="1"/>
    </xf>
    <xf numFmtId="172" fontId="26" fillId="11" borderId="36" xfId="41" applyFont="1" applyFill="1" applyBorder="1" applyAlignment="1">
      <alignment horizontal="center" vertical="center" wrapText="1"/>
    </xf>
    <xf numFmtId="0" fontId="27" fillId="11" borderId="36" xfId="0" applyFont="1" applyFill="1" applyBorder="1" applyAlignment="1">
      <alignment horizontal="center"/>
    </xf>
    <xf numFmtId="0" fontId="27" fillId="12" borderId="62" xfId="0" applyFont="1" applyFill="1" applyBorder="1"/>
    <xf numFmtId="0" fontId="27" fillId="12" borderId="36" xfId="0" applyFont="1" applyFill="1" applyBorder="1" applyAlignment="1">
      <alignment wrapText="1"/>
    </xf>
    <xf numFmtId="0" fontId="27" fillId="13" borderId="36" xfId="0" applyFont="1" applyFill="1" applyBorder="1" applyAlignment="1">
      <alignment horizontal="center" wrapText="1"/>
    </xf>
    <xf numFmtId="0" fontId="27" fillId="0" borderId="0" xfId="0" applyFont="1" applyAlignment="1">
      <alignment wrapText="1"/>
    </xf>
    <xf numFmtId="0" fontId="27" fillId="0" borderId="62" xfId="0" applyFont="1" applyBorder="1"/>
    <xf numFmtId="172" fontId="14" fillId="0" borderId="31" xfId="41" applyFont="1" applyBorder="1" applyAlignment="1">
      <alignment horizontal="center"/>
    </xf>
    <xf numFmtId="172" fontId="14" fillId="0" borderId="32" xfId="41" applyFont="1" applyBorder="1" applyAlignment="1">
      <alignment horizontal="center"/>
    </xf>
    <xf numFmtId="2" fontId="14" fillId="0" borderId="32" xfId="41" applyNumberFormat="1" applyFont="1" applyBorder="1" applyAlignment="1">
      <alignment horizontal="center"/>
    </xf>
    <xf numFmtId="180" fontId="14" fillId="0" borderId="32" xfId="41" applyNumberFormat="1" applyFont="1" applyBorder="1" applyAlignment="1">
      <alignment horizontal="center"/>
    </xf>
    <xf numFmtId="1" fontId="14" fillId="0" borderId="32" xfId="41" applyNumberFormat="1" applyFont="1" applyBorder="1" applyAlignment="1">
      <alignment horizontal="center"/>
    </xf>
    <xf numFmtId="1" fontId="14" fillId="0" borderId="33" xfId="41" applyNumberFormat="1" applyFont="1" applyBorder="1" applyAlignment="1">
      <alignment horizontal="center"/>
    </xf>
    <xf numFmtId="3" fontId="24" fillId="0" borderId="31" xfId="0" applyNumberFormat="1" applyFont="1" applyBorder="1" applyAlignment="1">
      <alignment horizontal="center"/>
    </xf>
    <xf numFmtId="3" fontId="24" fillId="0" borderId="32" xfId="0" applyNumberFormat="1" applyFont="1" applyBorder="1" applyAlignment="1">
      <alignment horizontal="center"/>
    </xf>
    <xf numFmtId="3" fontId="24" fillId="0" borderId="33" xfId="0" applyNumberFormat="1" applyFont="1" applyBorder="1"/>
    <xf numFmtId="0" fontId="24" fillId="0" borderId="64" xfId="0" applyFont="1" applyBorder="1"/>
    <xf numFmtId="0" fontId="24" fillId="0" borderId="24" xfId="0" applyFont="1" applyBorder="1" applyAlignment="1">
      <alignment horizontal="center"/>
    </xf>
    <xf numFmtId="0" fontId="24" fillId="0" borderId="0" xfId="0" applyFont="1" applyAlignment="1">
      <alignment horizontal="center"/>
    </xf>
    <xf numFmtId="3" fontId="24" fillId="0" borderId="1" xfId="0" applyNumberFormat="1" applyFont="1" applyBorder="1"/>
    <xf numFmtId="3" fontId="24" fillId="0" borderId="24" xfId="0" applyNumberFormat="1" applyFont="1" applyBorder="1" applyAlignment="1">
      <alignment horizontal="center"/>
    </xf>
    <xf numFmtId="172" fontId="14" fillId="0" borderId="26" xfId="41" applyFont="1" applyBorder="1" applyAlignment="1">
      <alignment horizontal="center"/>
    </xf>
    <xf numFmtId="2" fontId="14" fillId="0" borderId="1" xfId="41" applyNumberFormat="1" applyFont="1" applyBorder="1" applyAlignment="1">
      <alignment horizontal="center"/>
    </xf>
    <xf numFmtId="180" fontId="14" fillId="0" borderId="1" xfId="41" applyNumberFormat="1" applyFont="1" applyBorder="1" applyAlignment="1">
      <alignment horizontal="center"/>
    </xf>
    <xf numFmtId="1" fontId="14" fillId="0" borderId="1" xfId="41" applyNumberFormat="1" applyFont="1" applyBorder="1" applyAlignment="1">
      <alignment horizontal="center"/>
    </xf>
    <xf numFmtId="1" fontId="14" fillId="0" borderId="27" xfId="41" applyNumberFormat="1" applyFont="1" applyBorder="1" applyAlignment="1">
      <alignment horizontal="center"/>
    </xf>
    <xf numFmtId="3" fontId="24" fillId="0" borderId="26" xfId="0" applyNumberFormat="1" applyFont="1" applyBorder="1" applyAlignment="1">
      <alignment horizontal="center"/>
    </xf>
    <xf numFmtId="3" fontId="24" fillId="0" borderId="27" xfId="0" applyNumberFormat="1" applyFont="1" applyBorder="1"/>
    <xf numFmtId="0" fontId="24" fillId="0" borderId="65" xfId="0" applyFont="1" applyBorder="1"/>
    <xf numFmtId="3" fontId="24" fillId="0" borderId="1" xfId="0" applyNumberFormat="1" applyFont="1" applyBorder="1" applyAlignment="1">
      <alignment horizontal="center"/>
    </xf>
    <xf numFmtId="3" fontId="24" fillId="12" borderId="1" xfId="0" applyNumberFormat="1" applyFont="1" applyFill="1" applyBorder="1"/>
    <xf numFmtId="3" fontId="24" fillId="12" borderId="1" xfId="0" applyNumberFormat="1" applyFont="1" applyFill="1" applyBorder="1" applyAlignment="1">
      <alignment horizontal="center"/>
    </xf>
    <xf numFmtId="172" fontId="14" fillId="10" borderId="1" xfId="41" applyFont="1" applyFill="1" applyBorder="1" applyAlignment="1">
      <alignment horizontal="center"/>
    </xf>
    <xf numFmtId="172" fontId="14" fillId="0" borderId="28" xfId="41" applyFont="1" applyBorder="1" applyAlignment="1">
      <alignment horizontal="center"/>
    </xf>
    <xf numFmtId="2" fontId="14" fillId="0" borderId="29" xfId="41" applyNumberFormat="1" applyFont="1" applyBorder="1" applyAlignment="1">
      <alignment horizontal="center"/>
    </xf>
    <xf numFmtId="180" fontId="14" fillId="0" borderId="29" xfId="41" applyNumberFormat="1" applyFont="1" applyBorder="1" applyAlignment="1">
      <alignment horizontal="center"/>
    </xf>
    <xf numFmtId="1" fontId="14" fillId="0" borderId="29" xfId="41" applyNumberFormat="1" applyFont="1" applyBorder="1" applyAlignment="1">
      <alignment horizontal="center"/>
    </xf>
    <xf numFmtId="1" fontId="14" fillId="0" borderId="30" xfId="41" applyNumberFormat="1" applyFont="1" applyBorder="1" applyAlignment="1">
      <alignment horizontal="center"/>
    </xf>
    <xf numFmtId="3" fontId="24" fillId="0" borderId="28" xfId="0" applyNumberFormat="1" applyFont="1" applyBorder="1" applyAlignment="1">
      <alignment horizontal="center"/>
    </xf>
    <xf numFmtId="3" fontId="24" fillId="0" borderId="30" xfId="0" applyNumberFormat="1" applyFont="1" applyBorder="1"/>
    <xf numFmtId="0" fontId="24" fillId="0" borderId="66" xfId="0" applyFont="1" applyBorder="1"/>
    <xf numFmtId="3" fontId="24" fillId="12" borderId="46" xfId="0" applyNumberFormat="1" applyFont="1" applyFill="1" applyBorder="1" applyAlignment="1">
      <alignment horizontal="center"/>
    </xf>
    <xf numFmtId="2" fontId="26" fillId="7" borderId="0" xfId="41" applyNumberFormat="1" applyFont="1" applyFill="1" applyAlignment="1">
      <alignment horizontal="center" vertical="center"/>
    </xf>
    <xf numFmtId="3" fontId="27" fillId="4" borderId="36" xfId="0" applyNumberFormat="1" applyFont="1" applyFill="1" applyBorder="1"/>
    <xf numFmtId="0" fontId="27" fillId="4" borderId="63" xfId="0" applyFont="1" applyFill="1" applyBorder="1"/>
    <xf numFmtId="3" fontId="27" fillId="4" borderId="36" xfId="0" applyNumberFormat="1" applyFont="1" applyFill="1" applyBorder="1" applyAlignment="1">
      <alignment horizontal="center"/>
    </xf>
    <xf numFmtId="183" fontId="24" fillId="0" borderId="62" xfId="0" applyNumberFormat="1" applyFont="1" applyBorder="1" applyAlignment="1">
      <alignment horizontal="center"/>
    </xf>
    <xf numFmtId="0" fontId="24" fillId="0" borderId="63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14" fillId="0" borderId="1" xfId="41" applyNumberFormat="1" applyFont="1" applyBorder="1" applyAlignment="1">
      <alignment horizontal="center" vertical="center"/>
    </xf>
    <xf numFmtId="172" fontId="26" fillId="0" borderId="41" xfId="41" applyFont="1" applyBorder="1" applyAlignment="1">
      <alignment horizontal="center" vertical="center"/>
    </xf>
    <xf numFmtId="172" fontId="26" fillId="0" borderId="50" xfId="41" applyFont="1" applyBorder="1" applyAlignment="1">
      <alignment horizontal="center" vertical="center"/>
    </xf>
    <xf numFmtId="172" fontId="26" fillId="0" borderId="21" xfId="41" applyFont="1" applyBorder="1" applyAlignment="1">
      <alignment horizontal="center" vertical="center"/>
    </xf>
    <xf numFmtId="172" fontId="26" fillId="0" borderId="21" xfId="41" applyFont="1" applyBorder="1" applyAlignment="1">
      <alignment horizontal="center" vertical="center" wrapText="1"/>
    </xf>
    <xf numFmtId="1" fontId="14" fillId="0" borderId="20" xfId="41" applyNumberFormat="1" applyFont="1" applyBorder="1" applyAlignment="1">
      <alignment horizontal="center" vertical="center"/>
    </xf>
    <xf numFmtId="1" fontId="14" fillId="0" borderId="21" xfId="41" applyNumberFormat="1" applyFont="1" applyBorder="1" applyAlignment="1">
      <alignment horizontal="center" vertical="center"/>
    </xf>
    <xf numFmtId="2" fontId="14" fillId="0" borderId="21" xfId="41" applyNumberFormat="1" applyFont="1" applyBorder="1" applyAlignment="1">
      <alignment horizontal="center" vertical="center"/>
    </xf>
    <xf numFmtId="172" fontId="14" fillId="0" borderId="23" xfId="41" applyFont="1" applyBorder="1" applyAlignment="1">
      <alignment horizontal="left" vertical="center"/>
    </xf>
    <xf numFmtId="172" fontId="14" fillId="0" borderId="47" xfId="41" applyFont="1" applyBorder="1" applyAlignment="1">
      <alignment horizontal="center"/>
    </xf>
    <xf numFmtId="175" fontId="14" fillId="0" borderId="47" xfId="41" applyNumberFormat="1" applyFont="1" applyBorder="1" applyAlignment="1">
      <alignment horizontal="center" vertical="center"/>
    </xf>
    <xf numFmtId="172" fontId="14" fillId="0" borderId="67" xfId="41" applyFont="1" applyBorder="1" applyAlignment="1">
      <alignment horizontal="left" vertical="center"/>
    </xf>
    <xf numFmtId="178" fontId="14" fillId="0" borderId="46" xfId="41" applyNumberFormat="1" applyFont="1" applyBorder="1" applyAlignment="1">
      <alignment horizontal="center" vertical="center" wrapText="1"/>
    </xf>
    <xf numFmtId="0" fontId="6" fillId="0" borderId="0" xfId="40" applyFont="1"/>
    <xf numFmtId="0" fontId="10" fillId="0" borderId="0" xfId="40" applyFont="1"/>
    <xf numFmtId="0" fontId="6" fillId="0" borderId="4" xfId="40" applyFont="1" applyBorder="1"/>
    <xf numFmtId="0" fontId="7" fillId="0" borderId="5" xfId="40" applyFont="1" applyBorder="1"/>
    <xf numFmtId="0" fontId="7" fillId="0" borderId="10" xfId="40" applyFont="1" applyBorder="1"/>
    <xf numFmtId="0" fontId="7" fillId="0" borderId="11" xfId="40" applyFont="1" applyBorder="1"/>
    <xf numFmtId="0" fontId="7" fillId="0" borderId="12" xfId="40" applyFont="1" applyBorder="1"/>
    <xf numFmtId="0" fontId="7" fillId="0" borderId="13" xfId="40" applyFont="1" applyBorder="1"/>
    <xf numFmtId="0" fontId="8" fillId="0" borderId="4" xfId="40" applyFont="1" applyBorder="1" applyAlignment="1">
      <alignment horizontal="center" vertical="center"/>
    </xf>
    <xf numFmtId="0" fontId="9" fillId="0" borderId="6" xfId="40" applyFont="1" applyBorder="1"/>
    <xf numFmtId="0" fontId="9" fillId="0" borderId="5" xfId="40" applyFont="1" applyBorder="1"/>
    <xf numFmtId="0" fontId="9" fillId="0" borderId="10" xfId="40" applyFont="1" applyBorder="1"/>
    <xf numFmtId="0" fontId="11" fillId="0" borderId="0" xfId="40" applyFont="1"/>
    <xf numFmtId="0" fontId="9" fillId="0" borderId="11" xfId="40" applyFont="1" applyBorder="1"/>
    <xf numFmtId="0" fontId="9" fillId="0" borderId="12" xfId="40" applyFont="1" applyBorder="1"/>
    <xf numFmtId="0" fontId="9" fillId="0" borderId="14" xfId="40" applyFont="1" applyBorder="1"/>
    <xf numFmtId="0" fontId="9" fillId="0" borderId="13" xfId="40" applyFont="1" applyBorder="1"/>
    <xf numFmtId="0" fontId="6" fillId="0" borderId="7" xfId="40" applyFont="1" applyBorder="1" applyAlignment="1">
      <alignment horizontal="center"/>
    </xf>
    <xf numFmtId="0" fontId="7" fillId="0" borderId="8" xfId="40" applyFont="1" applyBorder="1"/>
    <xf numFmtId="0" fontId="7" fillId="0" borderId="9" xfId="40" applyFont="1" applyBorder="1"/>
    <xf numFmtId="0" fontId="6" fillId="0" borderId="7" xfId="40" quotePrefix="1" applyFont="1" applyBorder="1" applyAlignment="1">
      <alignment horizontal="center"/>
    </xf>
    <xf numFmtId="0" fontId="12" fillId="0" borderId="0" xfId="40" applyFont="1" applyAlignment="1">
      <alignment horizontal="center"/>
    </xf>
    <xf numFmtId="0" fontId="6" fillId="0" borderId="0" xfId="40" applyFont="1" applyAlignment="1">
      <alignment horizontal="center"/>
    </xf>
    <xf numFmtId="0" fontId="12" fillId="0" borderId="7" xfId="40" applyFont="1" applyBorder="1" applyAlignment="1">
      <alignment horizontal="center"/>
    </xf>
    <xf numFmtId="0" fontId="6" fillId="0" borderId="7" xfId="40" applyFont="1" applyBorder="1"/>
    <xf numFmtId="0" fontId="12" fillId="7" borderId="0" xfId="0" applyFont="1" applyFill="1"/>
    <xf numFmtId="0" fontId="24" fillId="7" borderId="0" xfId="0" applyFont="1" applyFill="1"/>
    <xf numFmtId="14" fontId="6" fillId="7" borderId="0" xfId="0" applyNumberFormat="1" applyFont="1" applyFill="1" applyAlignment="1">
      <alignment horizontal="left"/>
    </xf>
    <xf numFmtId="0" fontId="24" fillId="7" borderId="0" xfId="0" applyFont="1" applyFill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23" fillId="0" borderId="8" xfId="0" applyFont="1" applyBorder="1"/>
    <xf numFmtId="0" fontId="23" fillId="0" borderId="9" xfId="0" applyFont="1" applyBorder="1"/>
    <xf numFmtId="0" fontId="12" fillId="7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6" fillId="0" borderId="4" xfId="0" applyFont="1" applyBorder="1"/>
    <xf numFmtId="0" fontId="23" fillId="0" borderId="5" xfId="0" applyFont="1" applyBorder="1"/>
    <xf numFmtId="0" fontId="23" fillId="0" borderId="10" xfId="0" applyFont="1" applyBorder="1"/>
    <xf numFmtId="0" fontId="23" fillId="0" borderId="11" xfId="0" applyFont="1" applyBorder="1"/>
    <xf numFmtId="0" fontId="23" fillId="0" borderId="12" xfId="0" applyFont="1" applyBorder="1"/>
    <xf numFmtId="0" fontId="23" fillId="0" borderId="13" xfId="0" applyFont="1" applyBorder="1"/>
    <xf numFmtId="0" fontId="8" fillId="0" borderId="4" xfId="0" applyFont="1" applyBorder="1" applyAlignment="1">
      <alignment horizontal="center" vertical="center"/>
    </xf>
    <xf numFmtId="0" fontId="23" fillId="0" borderId="6" xfId="0" applyFont="1" applyBorder="1"/>
    <xf numFmtId="0" fontId="24" fillId="0" borderId="0" xfId="0" applyFont="1"/>
    <xf numFmtId="0" fontId="23" fillId="0" borderId="14" xfId="0" applyFont="1" applyBorder="1"/>
    <xf numFmtId="0" fontId="12" fillId="0" borderId="0" xfId="0" applyFont="1" applyAlignment="1">
      <alignment horizontal="center"/>
    </xf>
    <xf numFmtId="0" fontId="20" fillId="9" borderId="44" xfId="0" applyFont="1" applyFill="1" applyBorder="1" applyAlignment="1">
      <alignment vertical="center" wrapText="1"/>
    </xf>
    <xf numFmtId="0" fontId="23" fillId="0" borderId="45" xfId="0" applyFont="1" applyBorder="1"/>
    <xf numFmtId="0" fontId="20" fillId="0" borderId="44" xfId="0" applyFont="1" applyBorder="1" applyAlignment="1">
      <alignment vertical="center" wrapText="1"/>
    </xf>
    <xf numFmtId="0" fontId="17" fillId="9" borderId="44" xfId="0" applyFont="1" applyFill="1" applyBorder="1" applyAlignment="1">
      <alignment vertical="center" wrapText="1"/>
    </xf>
    <xf numFmtId="0" fontId="17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/>
    </xf>
    <xf numFmtId="0" fontId="17" fillId="0" borderId="44" xfId="0" applyFont="1" applyBorder="1" applyAlignment="1">
      <alignment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17" fillId="9" borderId="44" xfId="0" applyFont="1" applyFill="1" applyBorder="1" applyAlignment="1">
      <alignment horizontal="center" vertical="center" wrapText="1"/>
    </xf>
    <xf numFmtId="14" fontId="20" fillId="9" borderId="44" xfId="0" applyNumberFormat="1" applyFont="1" applyFill="1" applyBorder="1" applyAlignment="1">
      <alignment horizontal="center" vertical="center" wrapText="1"/>
    </xf>
    <xf numFmtId="14" fontId="20" fillId="0" borderId="44" xfId="0" applyNumberFormat="1" applyFont="1" applyBorder="1" applyAlignment="1">
      <alignment horizontal="center" vertical="center" wrapText="1"/>
    </xf>
    <xf numFmtId="172" fontId="14" fillId="0" borderId="1" xfId="41" applyFont="1" applyBorder="1" applyAlignment="1">
      <alignment horizontal="left"/>
    </xf>
    <xf numFmtId="172" fontId="14" fillId="0" borderId="0" xfId="41" applyFont="1" applyAlignment="1">
      <alignment horizontal="left" wrapText="1"/>
    </xf>
    <xf numFmtId="172" fontId="26" fillId="5" borderId="20" xfId="41" applyFont="1" applyFill="1" applyBorder="1" applyAlignment="1">
      <alignment horizontal="center"/>
    </xf>
    <xf numFmtId="172" fontId="26" fillId="5" borderId="21" xfId="41" applyFont="1" applyFill="1" applyBorder="1" applyAlignment="1">
      <alignment horizontal="center"/>
    </xf>
    <xf numFmtId="172" fontId="26" fillId="5" borderId="22" xfId="41" applyFont="1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3" fillId="0" borderId="0" xfId="0" applyFont="1"/>
    <xf numFmtId="179" fontId="14" fillId="0" borderId="0" xfId="0" applyNumberFormat="1" applyFont="1" applyAlignment="1">
      <alignment horizontal="center" vertical="center"/>
    </xf>
    <xf numFmtId="179" fontId="14" fillId="0" borderId="7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14" fontId="14" fillId="7" borderId="7" xfId="0" applyNumberFormat="1" applyFont="1" applyFill="1" applyBorder="1" applyAlignment="1">
      <alignment horizontal="center" vertical="center"/>
    </xf>
    <xf numFmtId="14" fontId="23" fillId="7" borderId="9" xfId="0" applyNumberFormat="1" applyFont="1" applyFill="1" applyBorder="1" applyAlignment="1">
      <alignment horizontal="center"/>
    </xf>
    <xf numFmtId="172" fontId="8" fillId="0" borderId="1" xfId="41" applyFont="1" applyBorder="1" applyAlignment="1">
      <alignment horizontal="center"/>
    </xf>
    <xf numFmtId="172" fontId="8" fillId="0" borderId="3" xfId="41" applyFont="1" applyBorder="1" applyAlignment="1">
      <alignment horizontal="center"/>
    </xf>
    <xf numFmtId="172" fontId="8" fillId="0" borderId="2" xfId="41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42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172" fontId="14" fillId="0" borderId="59" xfId="41" applyFont="1" applyBorder="1" applyAlignment="1">
      <alignment horizontal="center" vertical="center"/>
    </xf>
    <xf numFmtId="172" fontId="14" fillId="0" borderId="60" xfId="41" applyFont="1" applyBorder="1" applyAlignment="1">
      <alignment horizontal="center" vertical="center"/>
    </xf>
    <xf numFmtId="172" fontId="14" fillId="0" borderId="61" xfId="4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172" fontId="8" fillId="0" borderId="41" xfId="41" applyFont="1" applyBorder="1" applyAlignment="1">
      <alignment horizontal="center"/>
    </xf>
    <xf numFmtId="172" fontId="8" fillId="0" borderId="42" xfId="41" applyFont="1" applyBorder="1" applyAlignment="1">
      <alignment horizontal="center"/>
    </xf>
    <xf numFmtId="172" fontId="8" fillId="0" borderId="43" xfId="41" applyFont="1" applyBorder="1" applyAlignment="1">
      <alignment horizontal="center"/>
    </xf>
    <xf numFmtId="179" fontId="14" fillId="0" borderId="3" xfId="0" applyNumberFormat="1" applyFont="1" applyBorder="1" applyAlignment="1">
      <alignment horizontal="center" vertical="center"/>
    </xf>
    <xf numFmtId="179" fontId="14" fillId="0" borderId="49" xfId="0" applyNumberFormat="1" applyFont="1" applyBorder="1" applyAlignment="1">
      <alignment horizontal="center" vertical="center"/>
    </xf>
    <xf numFmtId="179" fontId="14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23" fillId="0" borderId="1" xfId="0" applyFont="1" applyBorder="1"/>
    <xf numFmtId="179" fontId="14" fillId="7" borderId="1" xfId="0" applyNumberFormat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14" fontId="23" fillId="7" borderId="1" xfId="0" applyNumberFormat="1" applyFont="1" applyFill="1" applyBorder="1"/>
    <xf numFmtId="0" fontId="14" fillId="7" borderId="46" xfId="0" applyFont="1" applyFill="1" applyBorder="1" applyAlignment="1">
      <alignment horizontal="center"/>
    </xf>
    <xf numFmtId="0" fontId="14" fillId="7" borderId="47" xfId="0" applyFont="1" applyFill="1" applyBorder="1" applyAlignment="1">
      <alignment horizontal="center"/>
    </xf>
    <xf numFmtId="0" fontId="14" fillId="7" borderId="24" xfId="0" applyFont="1" applyFill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2" fontId="14" fillId="0" borderId="21" xfId="41" applyNumberFormat="1" applyFont="1" applyBorder="1" applyAlignment="1">
      <alignment horizontal="center" vertical="center"/>
    </xf>
    <xf numFmtId="2" fontId="14" fillId="0" borderId="22" xfId="41" applyNumberFormat="1" applyFont="1" applyBorder="1" applyAlignment="1">
      <alignment horizontal="center" vertical="center"/>
    </xf>
    <xf numFmtId="172" fontId="26" fillId="0" borderId="50" xfId="41" applyFont="1" applyBorder="1" applyAlignment="1">
      <alignment horizontal="center" vertical="center"/>
    </xf>
    <xf numFmtId="172" fontId="26" fillId="0" borderId="43" xfId="41" applyFont="1" applyBorder="1" applyAlignment="1">
      <alignment horizontal="center" vertical="center"/>
    </xf>
    <xf numFmtId="172" fontId="8" fillId="0" borderId="20" xfId="41" applyFont="1" applyBorder="1" applyAlignment="1">
      <alignment horizontal="center"/>
    </xf>
    <xf numFmtId="172" fontId="8" fillId="0" borderId="21" xfId="41" applyFont="1" applyBorder="1" applyAlignment="1">
      <alignment horizontal="center"/>
    </xf>
    <xf numFmtId="172" fontId="8" fillId="0" borderId="50" xfId="41" applyFont="1" applyBorder="1" applyAlignment="1">
      <alignment horizontal="center"/>
    </xf>
    <xf numFmtId="172" fontId="8" fillId="0" borderId="22" xfId="41" applyFont="1" applyBorder="1" applyAlignment="1">
      <alignment horizontal="center"/>
    </xf>
    <xf numFmtId="14" fontId="14" fillId="7" borderId="49" xfId="0" applyNumberFormat="1" applyFont="1" applyFill="1" applyBorder="1" applyAlignment="1">
      <alignment horizontal="center" vertical="center"/>
    </xf>
    <xf numFmtId="14" fontId="14" fillId="7" borderId="2" xfId="0" applyNumberFormat="1" applyFont="1" applyFill="1" applyBorder="1" applyAlignment="1">
      <alignment horizontal="center" vertical="center"/>
    </xf>
    <xf numFmtId="179" fontId="14" fillId="7" borderId="3" xfId="0" applyNumberFormat="1" applyFont="1" applyFill="1" applyBorder="1" applyAlignment="1">
      <alignment horizontal="center" vertical="center"/>
    </xf>
    <xf numFmtId="179" fontId="14" fillId="7" borderId="2" xfId="0" applyNumberFormat="1" applyFont="1" applyFill="1" applyBorder="1" applyAlignment="1">
      <alignment horizontal="center" vertical="center"/>
    </xf>
    <xf numFmtId="172" fontId="5" fillId="0" borderId="31" xfId="41" applyFont="1" applyBorder="1" applyAlignment="1">
      <alignment horizontal="center" vertical="center"/>
    </xf>
    <xf numFmtId="172" fontId="5" fillId="0" borderId="28" xfId="41" applyFont="1" applyBorder="1" applyAlignment="1">
      <alignment horizontal="center" vertical="center"/>
    </xf>
    <xf numFmtId="172" fontId="5" fillId="0" borderId="1" xfId="41" applyFont="1" applyBorder="1" applyAlignment="1">
      <alignment horizontal="center" vertical="center"/>
    </xf>
    <xf numFmtId="172" fontId="18" fillId="0" borderId="41" xfId="41" applyFont="1" applyBorder="1" applyAlignment="1">
      <alignment horizontal="center"/>
    </xf>
    <xf numFmtId="172" fontId="18" fillId="0" borderId="42" xfId="41" applyFont="1" applyBorder="1" applyAlignment="1">
      <alignment horizontal="center"/>
    </xf>
    <xf numFmtId="172" fontId="18" fillId="0" borderId="43" xfId="41" applyFont="1" applyBorder="1" applyAlignment="1">
      <alignment horizontal="center"/>
    </xf>
    <xf numFmtId="179" fontId="21" fillId="0" borderId="0" xfId="0" applyNumberFormat="1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  <xf numFmtId="179" fontId="21" fillId="7" borderId="1" xfId="0" applyNumberFormat="1" applyFont="1" applyFill="1" applyBorder="1" applyAlignment="1">
      <alignment horizontal="center" vertical="center"/>
    </xf>
    <xf numFmtId="14" fontId="21" fillId="7" borderId="3" xfId="0" applyNumberFormat="1" applyFont="1" applyFill="1" applyBorder="1" applyAlignment="1">
      <alignment horizontal="center" vertical="center"/>
    </xf>
    <xf numFmtId="14" fontId="21" fillId="7" borderId="49" xfId="0" applyNumberFormat="1" applyFont="1" applyFill="1" applyBorder="1" applyAlignment="1">
      <alignment horizontal="center" vertical="center"/>
    </xf>
    <xf numFmtId="173" fontId="15" fillId="0" borderId="1" xfId="42" applyFont="1" applyBorder="1" applyAlignment="1">
      <alignment horizontal="center" vertical="center"/>
    </xf>
  </cellXfs>
  <cellStyles count="52">
    <cellStyle name="Comma0" xfId="43" xr:uid="{5D546EAB-1234-4B6E-81CD-29B7AD8F9D5E}"/>
    <cellStyle name="Currency 2" xfId="45" xr:uid="{7BDFA1FB-41E6-40CB-BDAC-D76FC05AE056}"/>
    <cellStyle name="Currency 2 2" xfId="49" xr:uid="{40F26B47-2F88-4237-A069-7F40BB470451}"/>
    <cellStyle name="Euro" xfId="3" xr:uid="{00000000-0005-0000-0000-000000000000}"/>
    <cellStyle name="Excel Built-in Normal" xfId="1" xr:uid="{00000000-0005-0000-0000-000001000000}"/>
    <cellStyle name="Millares [0] 2" xfId="4" xr:uid="{00000000-0005-0000-0000-000002000000}"/>
    <cellStyle name="Millares [0] 2 2" xfId="5" xr:uid="{00000000-0005-0000-0000-000003000000}"/>
    <cellStyle name="Millares [0] 2 2 2" xfId="6" xr:uid="{00000000-0005-0000-0000-000004000000}"/>
    <cellStyle name="Millares [0] 2 3" xfId="7" xr:uid="{00000000-0005-0000-0000-000005000000}"/>
    <cellStyle name="Millares [0] 3" xfId="8" xr:uid="{00000000-0005-0000-0000-000006000000}"/>
    <cellStyle name="Millares [0] 3 2" xfId="9" xr:uid="{00000000-0005-0000-0000-000007000000}"/>
    <cellStyle name="Millares [0] 4" xfId="10" xr:uid="{00000000-0005-0000-0000-000008000000}"/>
    <cellStyle name="Millares [0] 4 2" xfId="47" xr:uid="{50B5007B-339B-4E83-BAEF-F2F0EF96EAD4}"/>
    <cellStyle name="Millares [0] 5" xfId="11" xr:uid="{00000000-0005-0000-0000-000009000000}"/>
    <cellStyle name="Millares [0] 6" xfId="12" xr:uid="{00000000-0005-0000-0000-00000A000000}"/>
    <cellStyle name="Millares 2" xfId="13" xr:uid="{00000000-0005-0000-0000-00000B000000}"/>
    <cellStyle name="Millares 2 2" xfId="14" xr:uid="{00000000-0005-0000-0000-00000C000000}"/>
    <cellStyle name="Millares 2 2 2" xfId="15" xr:uid="{00000000-0005-0000-0000-00000D000000}"/>
    <cellStyle name="Millares 2 3" xfId="16" xr:uid="{00000000-0005-0000-0000-00000E000000}"/>
    <cellStyle name="Millares 3" xfId="17" xr:uid="{00000000-0005-0000-0000-00000F000000}"/>
    <cellStyle name="Millares 3 2" xfId="18" xr:uid="{00000000-0005-0000-0000-000010000000}"/>
    <cellStyle name="Millares 4" xfId="19" xr:uid="{00000000-0005-0000-0000-000011000000}"/>
    <cellStyle name="Millares 4 2" xfId="20" xr:uid="{00000000-0005-0000-0000-000012000000}"/>
    <cellStyle name="Millares 5" xfId="21" xr:uid="{00000000-0005-0000-0000-000013000000}"/>
    <cellStyle name="Moneda 2" xfId="22" xr:uid="{00000000-0005-0000-0000-000014000000}"/>
    <cellStyle name="Moneda 2 2" xfId="23" xr:uid="{00000000-0005-0000-0000-000015000000}"/>
    <cellStyle name="Moneda 2 2 2" xfId="24" xr:uid="{00000000-0005-0000-0000-000016000000}"/>
    <cellStyle name="Moneda 2 3" xfId="25" xr:uid="{00000000-0005-0000-0000-000017000000}"/>
    <cellStyle name="Moneda 3" xfId="26" xr:uid="{00000000-0005-0000-0000-000018000000}"/>
    <cellStyle name="Moneda 3 2" xfId="27" xr:uid="{00000000-0005-0000-0000-000019000000}"/>
    <cellStyle name="Moneda 4" xfId="28" xr:uid="{00000000-0005-0000-0000-00001A000000}"/>
    <cellStyle name="Moneda 5" xfId="29" xr:uid="{00000000-0005-0000-0000-00001B000000}"/>
    <cellStyle name="Moneda 6" xfId="30" xr:uid="{00000000-0005-0000-0000-00001C000000}"/>
    <cellStyle name="Moneda 7" xfId="31" xr:uid="{00000000-0005-0000-0000-00001D000000}"/>
    <cellStyle name="Moneda 8" xfId="32" xr:uid="{00000000-0005-0000-0000-00001E000000}"/>
    <cellStyle name="Normal" xfId="0" builtinId="0"/>
    <cellStyle name="Normal 10 2 3" xfId="44" xr:uid="{2F99EC00-BE61-4A8D-9F3D-37204C29BA2D}"/>
    <cellStyle name="Normal 2" xfId="33" xr:uid="{00000000-0005-0000-0000-000020000000}"/>
    <cellStyle name="Normal 2 2" xfId="41" xr:uid="{F432318D-6A8D-4A08-92B8-B0C51C270ACC}"/>
    <cellStyle name="Normal 2 2 2" xfId="48" xr:uid="{8D6CEF76-0EAE-4523-9E71-5DE6726075B3}"/>
    <cellStyle name="Normal 3" xfId="34" xr:uid="{00000000-0005-0000-0000-000021000000}"/>
    <cellStyle name="Normal 4" xfId="2" xr:uid="{00000000-0005-0000-0000-000022000000}"/>
    <cellStyle name="Normal 47" xfId="42" xr:uid="{78B9CA07-200C-4F8D-ACB9-95BA0F1606E5}"/>
    <cellStyle name="Normal 50" xfId="40" xr:uid="{6752DAF1-5FAC-4B1D-8BDF-8F4D4D128C61}"/>
    <cellStyle name="Percent 2" xfId="46" xr:uid="{64C05B66-03C0-46CE-B8A9-01C532E39EE7}"/>
    <cellStyle name="Percent 2 2" xfId="50" xr:uid="{36C786E4-25F4-4C50-9E79-8882199730B8}"/>
    <cellStyle name="Porcentaje 2" xfId="35" xr:uid="{00000000-0005-0000-0000-000023000000}"/>
    <cellStyle name="Porcentaje 2 2" xfId="36" xr:uid="{00000000-0005-0000-0000-000024000000}"/>
    <cellStyle name="Porcentaje 3" xfId="51" xr:uid="{E56DDC1F-6CF8-41BD-88B6-31B7259ED0E1}"/>
    <cellStyle name="Porcentual 2" xfId="37" xr:uid="{00000000-0005-0000-0000-000025000000}"/>
    <cellStyle name="Porcentual 2 2" xfId="38" xr:uid="{00000000-0005-0000-0000-000026000000}"/>
    <cellStyle name="Porcentual 3" xfId="39" xr:uid="{00000000-0005-0000-0000-000027000000}"/>
  </cellStyles>
  <dxfs count="0"/>
  <tableStyles count="0" defaultTableStyle="TableStyleMedium9" defaultPivotStyle="PivotStyleLight16"/>
  <colors>
    <mruColors>
      <color rgb="FF7892A0"/>
      <color rgb="FFDCE6F1"/>
      <color rgb="FF466675"/>
      <color rgb="FFECA600"/>
      <color rgb="FFF4CD19"/>
      <color rgb="FFFEB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5.png"/><Relationship Id="rId2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1143000" cy="733425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C2CEB018-7359-4A63-AC5B-41468D5364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38100"/>
          <a:ext cx="11430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21</xdr:row>
      <xdr:rowOff>114300</xdr:rowOff>
    </xdr:from>
    <xdr:ext cx="3638550" cy="10191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A7C2305A-2C47-4A36-B8EA-659BFA7EAA6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4100" y="4352925"/>
          <a:ext cx="36385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200586</xdr:rowOff>
    </xdr:from>
    <xdr:ext cx="8277225" cy="285750"/>
    <xdr:pic>
      <xdr:nvPicPr>
        <xdr:cNvPr id="4" name="image3.png" title="Imagen">
          <a:extLst>
            <a:ext uri="{FF2B5EF4-FFF2-40B4-BE49-F238E27FC236}">
              <a16:creationId xmlns:a16="http://schemas.microsoft.com/office/drawing/2014/main" id="{2EAD3A9F-FC54-40B7-A659-06937DF30D1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192436"/>
          <a:ext cx="8277225" cy="2857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291046</xdr:colOff>
      <xdr:row>31</xdr:row>
      <xdr:rowOff>21166</xdr:rowOff>
    </xdr:from>
    <xdr:to>
      <xdr:col>6</xdr:col>
      <xdr:colOff>751420</xdr:colOff>
      <xdr:row>31</xdr:row>
      <xdr:rowOff>172564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A58B9C-B509-4F53-8F43-A4AFA9BF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69546" y="6297083"/>
          <a:ext cx="460374" cy="1513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38100</xdr:rowOff>
    </xdr:from>
    <xdr:ext cx="1143000" cy="733425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94BF003C-DB9F-48B4-99CC-1AE587413E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830" y="38100"/>
          <a:ext cx="1143000" cy="7334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20</xdr:row>
      <xdr:rowOff>114300</xdr:rowOff>
    </xdr:from>
    <xdr:ext cx="3638550" cy="1019175"/>
    <xdr:pic>
      <xdr:nvPicPr>
        <xdr:cNvPr id="6" name="image2.png" title="Imagen">
          <a:extLst>
            <a:ext uri="{FF2B5EF4-FFF2-40B4-BE49-F238E27FC236}">
              <a16:creationId xmlns:a16="http://schemas.microsoft.com/office/drawing/2014/main" id="{027DFB63-C2B9-45AF-A028-427122EAA50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86965" y="4371975"/>
          <a:ext cx="3638550" cy="10191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55</xdr:row>
      <xdr:rowOff>57149</xdr:rowOff>
    </xdr:from>
    <xdr:to>
      <xdr:col>9</xdr:col>
      <xdr:colOff>323850</xdr:colOff>
      <xdr:row>1002</xdr:row>
      <xdr:rowOff>17633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45CA973-D3B3-461B-BF55-CDB2DFEF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62384"/>
          <a:ext cx="8412480" cy="932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133576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30289B6-DF79-4F84-A735-F6A00293B048}"/>
            </a:ext>
          </a:extLst>
        </xdr:cNvPr>
        <xdr:cNvSpPr>
          <a:spLocks noChangeAspect="1" noChangeArrowheads="1"/>
        </xdr:cNvSpPr>
      </xdr:nvSpPr>
      <xdr:spPr bwMode="auto">
        <a:xfrm>
          <a:off x="2057400" y="40671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470287</xdr:colOff>
      <xdr:row>0</xdr:row>
      <xdr:rowOff>79513</xdr:rowOff>
    </xdr:from>
    <xdr:ext cx="1143000" cy="73342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D5EFD0E8-4968-48D2-B70E-EE2505E810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4097" y="79513"/>
          <a:ext cx="1143000" cy="733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55</xdr:row>
      <xdr:rowOff>321159</xdr:rowOff>
    </xdr:from>
    <xdr:to>
      <xdr:col>5</xdr:col>
      <xdr:colOff>0</xdr:colOff>
      <xdr:row>60</xdr:row>
      <xdr:rowOff>136600</xdr:rowOff>
    </xdr:to>
    <xdr:pic>
      <xdr:nvPicPr>
        <xdr:cNvPr id="5" name="Imagen 6">
          <a:extLst>
            <a:ext uri="{FF2B5EF4-FFF2-40B4-BE49-F238E27FC236}">
              <a16:creationId xmlns:a16="http://schemas.microsoft.com/office/drawing/2014/main" id="{1B470FD3-7478-4212-A539-57DAB208A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82335"/>
          <a:ext cx="9670676" cy="93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17</xdr:row>
      <xdr:rowOff>0</xdr:rowOff>
    </xdr:from>
    <xdr:ext cx="304800" cy="306658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DF3FECAF-0811-46BC-83E1-F8E81F507C71}"/>
            </a:ext>
          </a:extLst>
        </xdr:cNvPr>
        <xdr:cNvSpPr>
          <a:spLocks noChangeAspect="1" noChangeArrowheads="1"/>
        </xdr:cNvSpPr>
      </xdr:nvSpPr>
      <xdr:spPr bwMode="auto">
        <a:xfrm>
          <a:off x="2054679" y="4191000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10468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FC2D139-195F-450E-B4AD-6C6DF941BE35}"/>
            </a:ext>
          </a:extLst>
        </xdr:cNvPr>
        <xdr:cNvSpPr>
          <a:spLocks noChangeAspect="1" noChangeArrowheads="1"/>
        </xdr:cNvSpPr>
      </xdr:nvSpPr>
      <xdr:spPr bwMode="auto">
        <a:xfrm>
          <a:off x="2054679" y="4191000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02946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5F420EB8-351A-49BA-ABF9-27D738FC6AA6}"/>
            </a:ext>
          </a:extLst>
        </xdr:cNvPr>
        <xdr:cNvSpPr>
          <a:spLocks noChangeAspect="1" noChangeArrowheads="1"/>
        </xdr:cNvSpPr>
      </xdr:nvSpPr>
      <xdr:spPr bwMode="auto">
        <a:xfrm>
          <a:off x="2060864" y="4156364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906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C3C402C-36F8-4B07-BD44-5D02A5CA1E55}"/>
            </a:ext>
          </a:extLst>
        </xdr:cNvPr>
        <xdr:cNvSpPr>
          <a:spLocks noChangeAspect="1" noChangeArrowheads="1"/>
        </xdr:cNvSpPr>
      </xdr:nvSpPr>
      <xdr:spPr bwMode="auto">
        <a:xfrm>
          <a:off x="2061882" y="4146176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304800" cy="306658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3AC6C525-572E-4CF8-9CFC-DB5DF53540B5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304800" cy="310468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CD091FC6-81F0-4A2C-A584-297691886BF1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304800" cy="302946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A7DA119D-AD79-40DA-A53C-F67E874A04EA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906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507C874-64C9-4587-AF4F-9B8A69AB2A72}"/>
            </a:ext>
          </a:extLst>
        </xdr:cNvPr>
        <xdr:cNvSpPr>
          <a:spLocks noChangeAspect="1" noChangeArrowheads="1"/>
        </xdr:cNvSpPr>
      </xdr:nvSpPr>
      <xdr:spPr bwMode="auto">
        <a:xfrm>
          <a:off x="12516971" y="4157382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6658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368AA42-1FEF-4F33-9F1F-F9D2DACBCF14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10468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5D0502DD-1B06-4312-9801-5087CFB6976D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2946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DEF4B20C-A895-4C14-AA7A-6914785D32EC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906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4C535B4F-9040-4B71-ACDC-32DADE784882}"/>
            </a:ext>
          </a:extLst>
        </xdr:cNvPr>
        <xdr:cNvSpPr>
          <a:spLocks noChangeAspect="1" noChangeArrowheads="1"/>
        </xdr:cNvSpPr>
      </xdr:nvSpPr>
      <xdr:spPr bwMode="auto">
        <a:xfrm>
          <a:off x="12516971" y="4157382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6658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FE6EDDF2-3B0B-4D08-A99D-B2E2A9215754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10468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3237BE77-D01C-4306-9E77-00F2030E309D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2946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9AA6B6-098D-4B83-8A8F-70E7D5F20129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906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B6373795-A356-435A-8274-EED1767740D6}"/>
            </a:ext>
          </a:extLst>
        </xdr:cNvPr>
        <xdr:cNvSpPr>
          <a:spLocks noChangeAspect="1" noChangeArrowheads="1"/>
        </xdr:cNvSpPr>
      </xdr:nvSpPr>
      <xdr:spPr bwMode="auto">
        <a:xfrm>
          <a:off x="12516971" y="4157382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6658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47706B0-E4AD-41AE-8825-453042D215B0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10468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A4923A-6C8F-4F18-BB53-80324DCE4C61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2946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5E62D531-4A3E-418C-8DDD-14EC7ABDC649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17</xdr:row>
      <xdr:rowOff>0</xdr:rowOff>
    </xdr:from>
    <xdr:ext cx="304800" cy="30906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DB7BC76-4B86-4B49-A07C-084115A9C943}"/>
            </a:ext>
          </a:extLst>
        </xdr:cNvPr>
        <xdr:cNvSpPr>
          <a:spLocks noChangeAspect="1" noChangeArrowheads="1"/>
        </xdr:cNvSpPr>
      </xdr:nvSpPr>
      <xdr:spPr bwMode="auto">
        <a:xfrm>
          <a:off x="12516971" y="4157382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17</xdr:row>
      <xdr:rowOff>0</xdr:rowOff>
    </xdr:from>
    <xdr:ext cx="304800" cy="306658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08159692-8751-4A89-89ED-03EDE6DE4BA2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17</xdr:row>
      <xdr:rowOff>0</xdr:rowOff>
    </xdr:from>
    <xdr:ext cx="304800" cy="310468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5F7F01E3-614A-43CB-970E-16112F79443E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17</xdr:row>
      <xdr:rowOff>0</xdr:rowOff>
    </xdr:from>
    <xdr:ext cx="304800" cy="302946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E5A955D4-5D6C-4B22-918D-835A04B061A0}"/>
            </a:ext>
          </a:extLst>
        </xdr:cNvPr>
        <xdr:cNvSpPr>
          <a:spLocks noChangeAspect="1" noChangeArrowheads="1"/>
        </xdr:cNvSpPr>
      </xdr:nvSpPr>
      <xdr:spPr bwMode="auto">
        <a:xfrm>
          <a:off x="10455088" y="4157382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37</xdr:col>
      <xdr:colOff>0</xdr:colOff>
      <xdr:row>17</xdr:row>
      <xdr:rowOff>0</xdr:rowOff>
    </xdr:from>
    <xdr:ext cx="304800" cy="30906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AAA4ABED-BAFC-49F4-8A32-FEF024A1AA50}"/>
            </a:ext>
          </a:extLst>
        </xdr:cNvPr>
        <xdr:cNvSpPr>
          <a:spLocks noChangeAspect="1" noChangeArrowheads="1"/>
        </xdr:cNvSpPr>
      </xdr:nvSpPr>
      <xdr:spPr bwMode="auto">
        <a:xfrm>
          <a:off x="12516971" y="4157382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133576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CD017CD-B813-45C5-A118-AF67A7317260}"/>
            </a:ext>
          </a:extLst>
        </xdr:cNvPr>
        <xdr:cNvSpPr>
          <a:spLocks noChangeAspect="1" noChangeArrowheads="1"/>
        </xdr:cNvSpPr>
      </xdr:nvSpPr>
      <xdr:spPr bwMode="auto">
        <a:xfrm>
          <a:off x="2057400" y="3371850"/>
          <a:ext cx="304800" cy="300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470287</xdr:colOff>
      <xdr:row>0</xdr:row>
      <xdr:rowOff>79513</xdr:rowOff>
    </xdr:from>
    <xdr:ext cx="1143000" cy="733425"/>
    <xdr:pic>
      <xdr:nvPicPr>
        <xdr:cNvPr id="7" name="image3.png" title="Imagen">
          <a:extLst>
            <a:ext uri="{FF2B5EF4-FFF2-40B4-BE49-F238E27FC236}">
              <a16:creationId xmlns:a16="http://schemas.microsoft.com/office/drawing/2014/main" id="{C0BCD71E-F296-49AE-A86E-0F684FD101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4097" y="79513"/>
          <a:ext cx="1143000" cy="733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55</xdr:row>
      <xdr:rowOff>67236</xdr:rowOff>
    </xdr:from>
    <xdr:to>
      <xdr:col>5</xdr:col>
      <xdr:colOff>0</xdr:colOff>
      <xdr:row>61</xdr:row>
      <xdr:rowOff>227</xdr:rowOff>
    </xdr:to>
    <xdr:pic>
      <xdr:nvPicPr>
        <xdr:cNvPr id="3" name="Imagen 6">
          <a:extLst>
            <a:ext uri="{FF2B5EF4-FFF2-40B4-BE49-F238E27FC236}">
              <a16:creationId xmlns:a16="http://schemas.microsoft.com/office/drawing/2014/main" id="{2D19CC5A-3EC3-4E8F-9AB2-C29CBAB65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81883"/>
          <a:ext cx="9670676" cy="935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17</xdr:row>
      <xdr:rowOff>0</xdr:rowOff>
    </xdr:from>
    <xdr:ext cx="304800" cy="306658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FE7387A-81C2-4E3A-A006-9129256381BB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10468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FD8BFEB-216C-4031-B4D7-83959B69F867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02946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44A8BD33-BA9E-4C93-BD6B-DDC556BA944C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906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73994A2A-C67C-4904-A388-FC0FD57BA057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4181475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304800" cy="306658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7020A82A-362E-43B5-A0A1-9D333F61A6AD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304800" cy="310468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09882A5-D424-4432-8AC7-264D9688B3FF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17</xdr:row>
      <xdr:rowOff>0</xdr:rowOff>
    </xdr:from>
    <xdr:ext cx="304800" cy="302946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398BB208-DB3F-4C51-9884-4465137ADCAF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17</xdr:row>
      <xdr:rowOff>0</xdr:rowOff>
    </xdr:from>
    <xdr:ext cx="304800" cy="30906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56DBF9C8-D11A-476D-A8C7-43DD79ED742C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4181475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6658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670E590-2111-4DBA-9683-F4A04BC08E35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10468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1C7056B-323D-49B4-B4E0-90D22C709670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17</xdr:row>
      <xdr:rowOff>0</xdr:rowOff>
    </xdr:from>
    <xdr:ext cx="304800" cy="302946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8A8CBB03-105A-4A6A-9797-D8367F64E541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17</xdr:row>
      <xdr:rowOff>0</xdr:rowOff>
    </xdr:from>
    <xdr:ext cx="304800" cy="30906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991EF02-C0EC-41E7-A8E8-E3878EC42CDA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4181475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6658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10EB90B4-0E51-4CE4-9230-AD9932C2F13E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10468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255B6C7-FE2F-4459-890D-EBCBF3DFCA96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17</xdr:row>
      <xdr:rowOff>0</xdr:rowOff>
    </xdr:from>
    <xdr:ext cx="304800" cy="302946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6CA06F6C-9E00-463B-8498-BED7B3D60249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17</xdr:row>
      <xdr:rowOff>0</xdr:rowOff>
    </xdr:from>
    <xdr:ext cx="304800" cy="30906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FA2A1A31-543C-4560-B068-DE2BF2AEAE88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4181475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6658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D608B03-18DE-4AE0-AF92-BFA2DF046B47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10468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10796743-4098-43B5-A2AB-C4B173128B0D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30</xdr:col>
      <xdr:colOff>0</xdr:colOff>
      <xdr:row>17</xdr:row>
      <xdr:rowOff>0</xdr:rowOff>
    </xdr:from>
    <xdr:ext cx="304800" cy="302946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57F6003-ED8E-4CA7-B184-17734D3D5F26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31</xdr:col>
      <xdr:colOff>0</xdr:colOff>
      <xdr:row>17</xdr:row>
      <xdr:rowOff>0</xdr:rowOff>
    </xdr:from>
    <xdr:ext cx="304800" cy="30906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924C06FB-632E-4AEC-8523-7CC17489440F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4181475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17</xdr:row>
      <xdr:rowOff>0</xdr:rowOff>
    </xdr:from>
    <xdr:ext cx="304800" cy="306658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90CF80A-695E-4F6A-8321-D63B9C8F75B5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17</xdr:row>
      <xdr:rowOff>0</xdr:rowOff>
    </xdr:from>
    <xdr:ext cx="304800" cy="310468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4F51A2E-C025-487C-8E3B-F49FAE21C3AB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0</xdr:colOff>
      <xdr:row>17</xdr:row>
      <xdr:rowOff>0</xdr:rowOff>
    </xdr:from>
    <xdr:ext cx="304800" cy="302946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72AA4A4-C3EC-4F8F-A6CE-A0ADD33D4E07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4181475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37</xdr:col>
      <xdr:colOff>0</xdr:colOff>
      <xdr:row>17</xdr:row>
      <xdr:rowOff>0</xdr:rowOff>
    </xdr:from>
    <xdr:ext cx="304800" cy="30906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9CEC86E6-AF4C-4674-9793-BE133A5955A2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4181475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133576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B68E252-7E19-4B1C-8509-47FBFB0EE500}"/>
            </a:ext>
          </a:extLst>
        </xdr:cNvPr>
        <xdr:cNvSpPr>
          <a:spLocks noChangeAspect="1" noChangeArrowheads="1"/>
        </xdr:cNvSpPr>
      </xdr:nvSpPr>
      <xdr:spPr bwMode="auto">
        <a:xfrm>
          <a:off x="2057400" y="38862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470287</xdr:colOff>
      <xdr:row>0</xdr:row>
      <xdr:rowOff>79513</xdr:rowOff>
    </xdr:from>
    <xdr:ext cx="1143000" cy="73342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A5C6D274-BAB3-49C7-9A5F-F82F08E1490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4097" y="79513"/>
          <a:ext cx="1143000" cy="7334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53</xdr:row>
      <xdr:rowOff>403412</xdr:rowOff>
    </xdr:from>
    <xdr:to>
      <xdr:col>5</xdr:col>
      <xdr:colOff>0</xdr:colOff>
      <xdr:row>59</xdr:row>
      <xdr:rowOff>39335</xdr:rowOff>
    </xdr:to>
    <xdr:pic>
      <xdr:nvPicPr>
        <xdr:cNvPr id="4" name="Imagen 6">
          <a:extLst>
            <a:ext uri="{FF2B5EF4-FFF2-40B4-BE49-F238E27FC236}">
              <a16:creationId xmlns:a16="http://schemas.microsoft.com/office/drawing/2014/main" id="{20D6CB28-67FA-47F7-8596-9C1730F8A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90530"/>
          <a:ext cx="9670676" cy="935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0</xdr:colOff>
      <xdr:row>17</xdr:row>
      <xdr:rowOff>0</xdr:rowOff>
    </xdr:from>
    <xdr:ext cx="304800" cy="306658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004DB5F-D793-43F7-9FDE-8D7CADDD1F50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3829050"/>
          <a:ext cx="304800" cy="30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10468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3C160BB-9B81-49B1-93E2-E675275732C3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3829050"/>
          <a:ext cx="304800" cy="310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02946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B52C134-5661-4D2D-98E4-7639D78C25BC}"/>
            </a:ext>
          </a:extLst>
        </xdr:cNvPr>
        <xdr:cNvSpPr>
          <a:spLocks noChangeAspect="1" noChangeArrowheads="1"/>
        </xdr:cNvSpPr>
      </xdr:nvSpPr>
      <xdr:spPr bwMode="auto">
        <a:xfrm>
          <a:off x="10448925" y="3829050"/>
          <a:ext cx="304800" cy="302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906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3621DD6-2D01-49A3-8011-0B73F07C6F63}"/>
            </a:ext>
          </a:extLst>
        </xdr:cNvPr>
        <xdr:cNvSpPr>
          <a:spLocks noChangeAspect="1" noChangeArrowheads="1"/>
        </xdr:cNvSpPr>
      </xdr:nvSpPr>
      <xdr:spPr bwMode="auto">
        <a:xfrm>
          <a:off x="12506325" y="3829050"/>
          <a:ext cx="304800" cy="30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</xdr:row>
      <xdr:rowOff>0</xdr:rowOff>
    </xdr:from>
    <xdr:to>
      <xdr:col>3</xdr:col>
      <xdr:colOff>304800</xdr:colOff>
      <xdr:row>23</xdr:row>
      <xdr:rowOff>113887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0D0D7FF-07C5-4A3C-828B-1AA87E37C0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779520"/>
          <a:ext cx="304800" cy="30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511748</xdr:colOff>
      <xdr:row>0</xdr:row>
      <xdr:rowOff>68979</xdr:rowOff>
    </xdr:from>
    <xdr:ext cx="1143000" cy="73342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FFEB131C-A65C-45DA-A05B-15F19098EB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1748" y="68979"/>
          <a:ext cx="1143000" cy="733425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11952</xdr:colOff>
      <xdr:row>26</xdr:row>
      <xdr:rowOff>167948</xdr:rowOff>
    </xdr:from>
    <xdr:to>
      <xdr:col>4</xdr:col>
      <xdr:colOff>1272502</xdr:colOff>
      <xdr:row>36</xdr:row>
      <xdr:rowOff>162065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7601715-2B12-0802-B96B-46346ABB0E39}"/>
            </a:ext>
          </a:extLst>
        </xdr:cNvPr>
        <xdr:cNvGrpSpPr/>
      </xdr:nvGrpSpPr>
      <xdr:grpSpPr>
        <a:xfrm>
          <a:off x="4143262" y="5966133"/>
          <a:ext cx="4848300" cy="1738462"/>
          <a:chOff x="5960371" y="5091141"/>
          <a:chExt cx="6417160" cy="1669284"/>
        </a:xfrm>
      </xdr:grpSpPr>
      <xdr:pic>
        <xdr:nvPicPr>
          <xdr:cNvPr id="14" name="Imagen 6">
            <a:extLst>
              <a:ext uri="{FF2B5EF4-FFF2-40B4-BE49-F238E27FC236}">
                <a16:creationId xmlns:a16="http://schemas.microsoft.com/office/drawing/2014/main" id="{37F2BDE2-2DBE-950B-45A5-5B5A3ED237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b="37075"/>
          <a:stretch/>
        </xdr:blipFill>
        <xdr:spPr>
          <a:xfrm>
            <a:off x="5968930" y="5091141"/>
            <a:ext cx="6269926" cy="905911"/>
          </a:xfrm>
          <a:prstGeom prst="rect">
            <a:avLst/>
          </a:prstGeom>
        </xdr:spPr>
      </xdr:pic>
      <xdr:pic>
        <xdr:nvPicPr>
          <xdr:cNvPr id="10" name="Imagen 10">
            <a:extLst>
              <a:ext uri="{FF2B5EF4-FFF2-40B4-BE49-F238E27FC236}">
                <a16:creationId xmlns:a16="http://schemas.microsoft.com/office/drawing/2014/main" id="{2FF11DAF-B6C3-0F29-BA2A-2256532540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6000615" y="5987253"/>
            <a:ext cx="6317575" cy="293337"/>
          </a:xfrm>
          <a:prstGeom prst="rect">
            <a:avLst/>
          </a:prstGeom>
        </xdr:spPr>
      </xdr:pic>
      <xdr:pic>
        <xdr:nvPicPr>
          <xdr:cNvPr id="6" name="Imagen 1">
            <a:extLst>
              <a:ext uri="{FF2B5EF4-FFF2-40B4-BE49-F238E27FC236}">
                <a16:creationId xmlns:a16="http://schemas.microsoft.com/office/drawing/2014/main" id="{88ED1E79-45F4-E229-6D4C-357D6165FD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960371" y="6252546"/>
            <a:ext cx="6417160" cy="266441"/>
          </a:xfrm>
          <a:prstGeom prst="rect">
            <a:avLst/>
          </a:prstGeom>
        </xdr:spPr>
      </xdr:pic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1A04EDC2-6CB3-4074-13DA-B357ECB026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5980130" y="6510618"/>
            <a:ext cx="6376148" cy="249807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1920875</xdr:colOff>
      <xdr:row>35</xdr:row>
      <xdr:rowOff>154293</xdr:rowOff>
    </xdr:from>
    <xdr:to>
      <xdr:col>9</xdr:col>
      <xdr:colOff>1198880</xdr:colOff>
      <xdr:row>42</xdr:row>
      <xdr:rowOff>133800</xdr:rowOff>
    </xdr:to>
    <xdr:pic>
      <xdr:nvPicPr>
        <xdr:cNvPr id="4" name="Imagen 6">
          <a:extLst>
            <a:ext uri="{FF2B5EF4-FFF2-40B4-BE49-F238E27FC236}">
              <a16:creationId xmlns:a16="http://schemas.microsoft.com/office/drawing/2014/main" id="{6B98F4CB-1ABC-476F-B547-CB5F39FF4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875" y="7663168"/>
          <a:ext cx="12319000" cy="1190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135254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9ACC325D-8DA3-43E0-AB8D-01A8382A681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3324225"/>
          <a:ext cx="304800" cy="30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440479</xdr:colOff>
      <xdr:row>0</xdr:row>
      <xdr:rowOff>68307</xdr:rowOff>
    </xdr:from>
    <xdr:ext cx="1143000" cy="733425"/>
    <xdr:pic>
      <xdr:nvPicPr>
        <xdr:cNvPr id="7" name="image3.png" title="Imagen">
          <a:extLst>
            <a:ext uri="{FF2B5EF4-FFF2-40B4-BE49-F238E27FC236}">
              <a16:creationId xmlns:a16="http://schemas.microsoft.com/office/drawing/2014/main" id="{DE3DFFC6-DEFC-4B92-8695-F9686FCB995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6669" y="66402"/>
          <a:ext cx="1143000" cy="73342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802128</xdr:colOff>
      <xdr:row>15</xdr:row>
      <xdr:rowOff>150159</xdr:rowOff>
    </xdr:from>
    <xdr:to>
      <xdr:col>5</xdr:col>
      <xdr:colOff>0</xdr:colOff>
      <xdr:row>19</xdr:row>
      <xdr:rowOff>75796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6734093-D15B-4016-1CE0-DECCDB3ED693}"/>
            </a:ext>
          </a:extLst>
        </xdr:cNvPr>
        <xdr:cNvGrpSpPr/>
      </xdr:nvGrpSpPr>
      <xdr:grpSpPr>
        <a:xfrm>
          <a:off x="2864010" y="3422277"/>
          <a:ext cx="6728225" cy="597990"/>
          <a:chOff x="2231998" y="4762500"/>
          <a:chExt cx="9024647" cy="606170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53846994-804C-4C42-AB00-195BC77648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231998" y="5046435"/>
            <a:ext cx="9024647" cy="322235"/>
          </a:xfrm>
          <a:prstGeom prst="rect">
            <a:avLst/>
          </a:prstGeom>
        </xdr:spPr>
      </xdr:pic>
      <xdr:pic>
        <xdr:nvPicPr>
          <xdr:cNvPr id="2" name="Picture 1">
            <a:extLst>
              <a:ext uri="{FF2B5EF4-FFF2-40B4-BE49-F238E27FC236}">
                <a16:creationId xmlns:a16="http://schemas.microsoft.com/office/drawing/2014/main" id="{0E99EF8F-5E90-DBFF-0AAC-F59FA1EAD9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234566" y="4762500"/>
            <a:ext cx="8924925" cy="28618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21</xdr:row>
      <xdr:rowOff>93233</xdr:rowOff>
    </xdr:from>
    <xdr:to>
      <xdr:col>6</xdr:col>
      <xdr:colOff>965611</xdr:colOff>
      <xdr:row>22</xdr:row>
      <xdr:rowOff>142498</xdr:rowOff>
    </xdr:to>
    <xdr:pic>
      <xdr:nvPicPr>
        <xdr:cNvPr id="4" name="Imagen 6">
          <a:extLst>
            <a:ext uri="{FF2B5EF4-FFF2-40B4-BE49-F238E27FC236}">
              <a16:creationId xmlns:a16="http://schemas.microsoft.com/office/drawing/2014/main" id="{D0C29B6C-C01E-477F-8878-C86ACAF340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799" b="35885"/>
        <a:stretch/>
      </xdr:blipFill>
      <xdr:spPr bwMode="auto">
        <a:xfrm>
          <a:off x="0" y="4373880"/>
          <a:ext cx="11911853" cy="219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133349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6E05B83-C482-46B9-9AF4-6E3C30C8F5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857625"/>
          <a:ext cx="304800" cy="30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455719</xdr:colOff>
      <xdr:row>0</xdr:row>
      <xdr:rowOff>104502</xdr:rowOff>
    </xdr:from>
    <xdr:ext cx="1143000" cy="733425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779F8645-CF56-43E5-978C-F180BFC225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5719" y="102597"/>
          <a:ext cx="1143000" cy="73342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1005841</xdr:colOff>
      <xdr:row>19</xdr:row>
      <xdr:rowOff>95251</xdr:rowOff>
    </xdr:from>
    <xdr:to>
      <xdr:col>6</xdr:col>
      <xdr:colOff>95256</xdr:colOff>
      <xdr:row>29</xdr:row>
      <xdr:rowOff>803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78A8E0C-7981-F8AB-2E75-D4B264F8CEC6}"/>
            </a:ext>
          </a:extLst>
        </xdr:cNvPr>
        <xdr:cNvGrpSpPr/>
      </xdr:nvGrpSpPr>
      <xdr:grpSpPr>
        <a:xfrm>
          <a:off x="1009651" y="4450529"/>
          <a:ext cx="8472324" cy="1590245"/>
          <a:chOff x="1005841" y="4819651"/>
          <a:chExt cx="8471540" cy="162005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80EE47D-6D43-E509-FCED-BEE413BDDF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12187" y="5422317"/>
            <a:ext cx="8419328" cy="261648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2A8A0C82-C56E-DD5E-453E-912E8B1D4E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09615" y="4819651"/>
            <a:ext cx="8412280" cy="589907"/>
          </a:xfrm>
          <a:prstGeom prst="rect">
            <a:avLst/>
          </a:prstGeom>
        </xdr:spPr>
      </xdr:pic>
      <xdr:pic>
        <xdr:nvPicPr>
          <xdr:cNvPr id="8" name="Picture 7">
            <a:extLst>
              <a:ext uri="{FF2B5EF4-FFF2-40B4-BE49-F238E27FC236}">
                <a16:creationId xmlns:a16="http://schemas.microsoft.com/office/drawing/2014/main" id="{A8BB4B0F-870C-FF9C-0C3D-6DB91071C9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09650" y="5692142"/>
            <a:ext cx="8467731" cy="250372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D07B45A8-217B-2261-10D3-19937F245D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05841" y="5905500"/>
            <a:ext cx="8391525" cy="209279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0F67D37-80DA-2D34-03AF-A86425D1C9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09650" y="6187440"/>
            <a:ext cx="8425815" cy="252263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32</xdr:row>
      <xdr:rowOff>127076</xdr:rowOff>
    </xdr:from>
    <xdr:to>
      <xdr:col>7</xdr:col>
      <xdr:colOff>17229</xdr:colOff>
      <xdr:row>33</xdr:row>
      <xdr:rowOff>136632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74DFE67-5F61-4AC4-9436-D7D6481363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799" b="35885"/>
        <a:stretch/>
      </xdr:blipFill>
      <xdr:spPr bwMode="auto">
        <a:xfrm>
          <a:off x="1" y="6794576"/>
          <a:ext cx="10419522" cy="189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6.%20LDA-OFM\2.%20DISCIPLINAS\5.%20HVA\1.%20CARPETA%20DE%20TRABAJO\0.%20DOCUMENTOS%20DE%20TRABAJO\20250714_MC%20OFM.xlsx" TargetMode="External"/><Relationship Id="rId1" Type="http://schemas.openxmlformats.org/officeDocument/2006/relationships/externalLinkPath" Target="file:///H:\6.%20LDA-OFM\2.%20DISCIPLINAS\5.%20HVA\1.%20CARPETA%20DE%20TRABAJO\0.%20DOCUMENTOS%20DE%20TRABAJO\20250714_MC%20OF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de vida"/>
      <sheetName val="1. Presentación"/>
      <sheetName val="VS-01"/>
      <sheetName val="VS-01 (2)"/>
      <sheetName val="VE-01"/>
      <sheetName val="VE-01.1"/>
      <sheetName val="VE-01 (2)"/>
      <sheetName val="VE-01 (3)"/>
      <sheetName val="VE-02"/>
      <sheetName val="VE-02 (2)"/>
      <sheetName val="VE-02 (3)"/>
      <sheetName val="EI-01"/>
      <sheetName val="Ventilación zonas comúnes"/>
      <sheetName val="Extracción Baños"/>
      <sheetName val="Extracción zonas comúnes"/>
      <sheetName val="CARGAS"/>
      <sheetName val="Sheet1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H6">
            <v>1.2463920230910521E-2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9454-B313-4784-A771-BD38A1F2C7BB}">
  <sheetPr>
    <outlinePr summaryBelow="0" summaryRight="0"/>
    <pageSetUpPr fitToPage="1"/>
  </sheetPr>
  <dimension ref="A1:Z1000"/>
  <sheetViews>
    <sheetView workbookViewId="0">
      <selection sqref="A1:B4"/>
    </sheetView>
  </sheetViews>
  <sheetFormatPr defaultColWidth="0" defaultRowHeight="15" customHeight="1" zeroHeight="1"/>
  <cols>
    <col min="1" max="1" width="12.109375" style="4" customWidth="1"/>
    <col min="2" max="2" width="10" style="4" customWidth="1"/>
    <col min="3" max="3" width="11.88671875" style="4" customWidth="1"/>
    <col min="4" max="4" width="20" style="4" customWidth="1"/>
    <col min="5" max="5" width="18.33203125" style="4" customWidth="1"/>
    <col min="6" max="6" width="14.44140625" style="4" customWidth="1"/>
    <col min="7" max="7" width="15.6640625" style="4" customWidth="1"/>
    <col min="8" max="10" width="7.33203125" style="4" customWidth="1"/>
    <col min="11" max="26" width="0" style="4" hidden="1" customWidth="1"/>
    <col min="27" max="16384" width="14.44140625" style="4" hidden="1"/>
  </cols>
  <sheetData>
    <row r="1" spans="1:26" ht="16.5" customHeight="1">
      <c r="A1" s="187"/>
      <c r="B1" s="188"/>
      <c r="C1" s="193" t="s">
        <v>25</v>
      </c>
      <c r="D1" s="194"/>
      <c r="E1" s="194"/>
      <c r="F1" s="194"/>
      <c r="G1" s="195"/>
      <c r="H1" s="202" t="s">
        <v>28</v>
      </c>
      <c r="I1" s="203"/>
      <c r="J1" s="20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89"/>
      <c r="B2" s="190"/>
      <c r="C2" s="196"/>
      <c r="D2" s="197"/>
      <c r="E2" s="197"/>
      <c r="F2" s="197"/>
      <c r="G2" s="198"/>
      <c r="H2" s="202" t="s">
        <v>37</v>
      </c>
      <c r="I2" s="203"/>
      <c r="J2" s="20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89"/>
      <c r="B3" s="190"/>
      <c r="C3" s="196"/>
      <c r="D3" s="197"/>
      <c r="E3" s="197"/>
      <c r="F3" s="197"/>
      <c r="G3" s="198"/>
      <c r="H3" s="202" t="s">
        <v>8</v>
      </c>
      <c r="I3" s="203"/>
      <c r="J3" s="20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191"/>
      <c r="B4" s="192"/>
      <c r="C4" s="199"/>
      <c r="D4" s="200"/>
      <c r="E4" s="200"/>
      <c r="F4" s="200"/>
      <c r="G4" s="201"/>
      <c r="H4" s="205" t="s">
        <v>30</v>
      </c>
      <c r="I4" s="203"/>
      <c r="J4" s="20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6">
      <c r="A13" s="206" t="s">
        <v>25</v>
      </c>
      <c r="B13" s="186"/>
      <c r="C13" s="186"/>
      <c r="D13" s="186"/>
      <c r="E13" s="186"/>
      <c r="F13" s="186"/>
      <c r="G13" s="186"/>
      <c r="H13" s="186"/>
      <c r="I13" s="186"/>
      <c r="J13" s="18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6">
      <c r="A15" s="207" t="s">
        <v>9</v>
      </c>
      <c r="B15" s="186"/>
      <c r="C15" s="186"/>
      <c r="D15" s="186"/>
      <c r="E15" s="186"/>
      <c r="F15" s="186"/>
      <c r="G15" s="186"/>
      <c r="H15" s="186"/>
      <c r="I15" s="186"/>
      <c r="J15" s="18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6">
      <c r="A31" s="3"/>
      <c r="B31" s="3"/>
      <c r="C31" s="5"/>
      <c r="D31" s="6" t="s">
        <v>10</v>
      </c>
      <c r="E31" s="6" t="s">
        <v>11</v>
      </c>
      <c r="F31" s="6" t="s">
        <v>12</v>
      </c>
      <c r="G31" s="6" t="s">
        <v>13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>
      <c r="A32" s="3"/>
      <c r="B32" s="3"/>
      <c r="C32" s="7" t="s">
        <v>14</v>
      </c>
      <c r="D32" s="8" t="s">
        <v>31</v>
      </c>
      <c r="E32" s="7" t="s">
        <v>32</v>
      </c>
      <c r="F32" s="9">
        <v>44522</v>
      </c>
      <c r="G32" s="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>
      <c r="A33" s="3"/>
      <c r="B33" s="3"/>
      <c r="C33" s="10" t="s">
        <v>15</v>
      </c>
      <c r="D33" s="11" t="s">
        <v>16</v>
      </c>
      <c r="E33" s="10" t="s">
        <v>17</v>
      </c>
      <c r="F33" s="12">
        <v>44522</v>
      </c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>
      <c r="A34" s="3"/>
      <c r="B34" s="3"/>
      <c r="C34" s="7" t="s">
        <v>18</v>
      </c>
      <c r="D34" s="13" t="s">
        <v>16</v>
      </c>
      <c r="E34" s="7" t="s">
        <v>17</v>
      </c>
      <c r="F34" s="9">
        <v>44522</v>
      </c>
      <c r="G34" s="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206" t="s">
        <v>19</v>
      </c>
      <c r="B39" s="186"/>
      <c r="C39" s="186"/>
      <c r="D39" s="186"/>
      <c r="E39" s="186"/>
      <c r="F39" s="186"/>
      <c r="G39" s="186"/>
      <c r="H39" s="186"/>
      <c r="I39" s="186"/>
      <c r="J39" s="18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6">
      <c r="A42" s="3"/>
      <c r="B42" s="3"/>
      <c r="C42" s="14" t="s">
        <v>20</v>
      </c>
      <c r="D42" s="208" t="s">
        <v>21</v>
      </c>
      <c r="E42" s="204"/>
      <c r="F42" s="15" t="s">
        <v>12</v>
      </c>
      <c r="G42" s="14" t="s">
        <v>22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6">
      <c r="A43" s="3"/>
      <c r="B43" s="3"/>
      <c r="C43" s="16" t="s">
        <v>23</v>
      </c>
      <c r="D43" s="209" t="s">
        <v>24</v>
      </c>
      <c r="E43" s="203"/>
      <c r="F43" s="17">
        <v>44522</v>
      </c>
      <c r="G43" s="18" t="s">
        <v>17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6">
      <c r="A44" s="3"/>
      <c r="B44" s="3"/>
      <c r="C44" s="19"/>
      <c r="D44" s="185"/>
      <c r="E44" s="186"/>
      <c r="F44" s="19"/>
      <c r="G44" s="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6" hidden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6" hidden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6" hidden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6" hidden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6" hidden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6" hidden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6" hidden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6" hidden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6" hidden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6" hidden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6" hidden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6" hidden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6" hidden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6" hidden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6" hidden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6" hidden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6" hidden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6" hidden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6" hidden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6" hidden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6" hidden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6" hidden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6" hidden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6" hidden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6" hidden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6" hidden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6" hidden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6" hidden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6" hidden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6" hidden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6" hidden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6" hidden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6" hidden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6" hidden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6" hidden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6" hidden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6" hidden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6" hidden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6" hidden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6" hidden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6" hidden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6" hidden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6" hidden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6" hidden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6" hidden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6" hidden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6" hidden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6" hidden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6" hidden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6" hidden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6" hidden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6" hidden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6" hidden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6" hidden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6" hidden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6" hidden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6" hidden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6" hidden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6" hidden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6" hidden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6" hidden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6" hidden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6" hidden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6" hidden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6" hidden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6" hidden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6" hidden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6" hidden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6" hidden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6" hidden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6" hidden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6" hidden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6" hidden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6" hidden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6" hidden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6" hidden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6" hidden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6" hidden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6" hidden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6" hidden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6" hidden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6" hidden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6" hidden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6" hidden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6" hidden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6" hidden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6" hidden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6" hidden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6" hidden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6" hidden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6" hidden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6" hidden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6" hidden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6" hidden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6" hidden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6" hidden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6" hidden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6" hidden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6" hidden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6" hidden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6" hidden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6" hidden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6" hidden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6" hidden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6" hidden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6" hidden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6" hidden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6" hidden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6" hidden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6" hidden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6" hidden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6" hidden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6" hidden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6" hidden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6" hidden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6" hidden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6" hidden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6" hidden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6" hidden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6" hidden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6" hidden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6" hidden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6" hidden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6" hidden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6" hidden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6" hidden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6" hidden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6" hidden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6" hidden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6" hidden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6" hidden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6" hidden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6" hidden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6" hidden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6" hidden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6" hidden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6" hidden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6" hidden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6" hidden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6" hidden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6" hidden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6" hidden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6" hidden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6" hidden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6" hidden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6" hidden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6" hidden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6" hidden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6" hidden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6" hidden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6" hidden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6" hidden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6" hidden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6" hidden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6" hidden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6" hidden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6" hidden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6" hidden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6" hidden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6" hidden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6" hidden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6" hidden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6" hidden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6" hidden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6" hidden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6" hidden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6" hidden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6" hidden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6" hidden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6" hidden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6" hidden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6" hidden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6" hidden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6" hidden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6" hidden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6" hidden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6" hidden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6" hidden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6" hidden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6" hidden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6" hidden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6" hidden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6" hidden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6" hidden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6" hidden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6" hidden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6" hidden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6" hidden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6" hidden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6" hidden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6" hidden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6" hidden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6" hidden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6" hidden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6" hidden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6" hidden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6" hidden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6" hidden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6" hidden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6" hidden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6" hidden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6" hidden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6" hidden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6" hidden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6" hidden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6" hidden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6" hidden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6" hidden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6" hidden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6" hidden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6" hidden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6" hidden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6" hidden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6" hidden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6" hidden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6" hidden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6" hidden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6" hidden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6" hidden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6" hidden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6" hidden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6" hidden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6" hidden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6" hidden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6" hidden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6" hidden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6" hidden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6" hidden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6" hidden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6" hidden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6" hidden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6" hidden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6" hidden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6" hidden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6" hidden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6" hidden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6" hidden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6" hidden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6" hidden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6" hidden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6" hidden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6" hidden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6" hidden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6" hidden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6" hidden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6" hidden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6" hidden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6" hidden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6" hidden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6" hidden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6" hidden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6" hidden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6" hidden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6" hidden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6" hidden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6" hidden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6" hidden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6" hidden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6" hidden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6" hidden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6" hidden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6" hidden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6" hidden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6" hidden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6" hidden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6" hidden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6" hidden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6" hidden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6" hidden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6" hidden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6" hidden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6" hidden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6" hidden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6" hidden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6" hidden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6" hidden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6" hidden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6" hidden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6" hidden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6" hidden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6" hidden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6" hidden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6" hidden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6" hidden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6" hidden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6" hidden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6" hidden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6" hidden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6" hidden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6" hidden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6" hidden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6" hidden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6" hidden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6" hidden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6" hidden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6" hidden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6" hidden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6" hidden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6" hidden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6" hidden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6" hidden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6" hidden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6" hidden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6" hidden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6" hidden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6" hidden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6" hidden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6" hidden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6" hidden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6" hidden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6" hidden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6" hidden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6" hidden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6" hidden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6" hidden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6" hidden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6" hidden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6" hidden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6" hidden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6" hidden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6" hidden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6" hidden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6" hidden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6" hidden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6" hidden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6" hidden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6" hidden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6" hidden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6" hidden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6" hidden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6" hidden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6" hidden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6" hidden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6" hidden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6" hidden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6" hidden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6" hidden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6" hidden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6" hidden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6" hidden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6" hidden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6" hidden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6" hidden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6" hidden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6" hidden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6" hidden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6" hidden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6" hidden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6" hidden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6" hidden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6" hidden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6" hidden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6" hidden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6" hidden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6" hidden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6" hidden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6" hidden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6" hidden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6" hidden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6" hidden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6" hidden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6" hidden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6" hidden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6" hidden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6" hidden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6" hidden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6" hidden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6" hidden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6" hidden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6" hidden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6" hidden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6" hidden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6" hidden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6" hidden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6" hidden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6" hidden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6" hidden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6" hidden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6" hidden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6" hidden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6" hidden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6" hidden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6" hidden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6" hidden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6" hidden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6" hidden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6" hidden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6" hidden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6" hidden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6" hidden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6" hidden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6" hidden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6" hidden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6" hidden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6" hidden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6" hidden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6" hidden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6" hidden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6" hidden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6" hidden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6" hidden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6" hidden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6" hidden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6" hidden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6" hidden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6" hidden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6" hidden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6" hidden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6" hidden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6" hidden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6" hidden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6" hidden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6" hidden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6" hidden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6" hidden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6" hidden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6" hidden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6" hidden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6" hidden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6" hidden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6" hidden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6" hidden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6" hidden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6" hidden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6" hidden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6" hidden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6" hidden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6" hidden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6" hidden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6" hidden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6" hidden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6" hidden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6" hidden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6" hidden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6" hidden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6" hidden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6" hidden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6" hidden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6" hidden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6" hidden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6" hidden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6" hidden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6" hidden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6" hidden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6" hidden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6" hidden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6" hidden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6" hidden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6" hidden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6" hidden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6" hidden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6" hidden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6" hidden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6" hidden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6" hidden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6" hidden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6" hidden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6" hidden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6" hidden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6" hidden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6" hidden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6" hidden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6" hidden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6" hidden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6" hidden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6" hidden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6" hidden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6" hidden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6" hidden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6" hidden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6" hidden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6" hidden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6" hidden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6" hidden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6" hidden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6" hidden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6" hidden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6" hidden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6" hidden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6" hidden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6" hidden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6" hidden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6" hidden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6" hidden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6" hidden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6" hidden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6" hidden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6" hidden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6" hidden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6" hidden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6" hidden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6" hidden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6" hidden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6" hidden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6" hidden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6" hidden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6" hidden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6" hidden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6" hidden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6" hidden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6" hidden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6" hidden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6" hidden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6" hidden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6" hidden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6" hidden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6" hidden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6" hidden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6" hidden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6" hidden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6" hidden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6" hidden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6" hidden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6" hidden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6" hidden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6" hidden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6" hidden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6" hidden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6" hidden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6" hidden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6" hidden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6" hidden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6" hidden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6" hidden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6" hidden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6" hidden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6" hidden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6" hidden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6" hidden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6" hidden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6" hidden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6" hidden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6" hidden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6" hidden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6" hidden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6" hidden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6" hidden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6" hidden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6" hidden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6" hidden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6" hidden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6" hidden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6" hidden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6" hidden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6" hidden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6" hidden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6" hidden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6" hidden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6" hidden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6" hidden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6" hidden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6" hidden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6" hidden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6" hidden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6" hidden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6" hidden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6" hidden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6" hidden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6" hidden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6" hidden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6" hidden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6" hidden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6" hidden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6" hidden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6" hidden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6" hidden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6" hidden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6" hidden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6" hidden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6" hidden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6" hidden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6" hidden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6" hidden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6" hidden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6" hidden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6" hidden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6" hidden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6" hidden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6" hidden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6" hidden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6" hidden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6" hidden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6" hidden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6" hidden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6" hidden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6" hidden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6" hidden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6" hidden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6" hidden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6" hidden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6" hidden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6" hidden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6" hidden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6" hidden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6" hidden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6" hidden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6" hidden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6" hidden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6" hidden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6" hidden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6" hidden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6" hidden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6" hidden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6" hidden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6" hidden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6" hidden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6" hidden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6" hidden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6" hidden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6" hidden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6" hidden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6" hidden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6" hidden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6" hidden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6" hidden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6" hidden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6" hidden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6" hidden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6" hidden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6" hidden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6" hidden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6" hidden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6" hidden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6" hidden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6" hidden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6" hidden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6" hidden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6" hidden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6" hidden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6" hidden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6" hidden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6" hidden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6" hidden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6" hidden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6" hidden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6" hidden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6" hidden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6" hidden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6" hidden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6" hidden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6" hidden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6" hidden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6" hidden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6" hidden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6" hidden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6" hidden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6" hidden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6" hidden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6" hidden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6" hidden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6" hidden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6" hidden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6" hidden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6" hidden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6" hidden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6" hidden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6" hidden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6" hidden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6" hidden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6" hidden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6" hidden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6" hidden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6" hidden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6" hidden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6" hidden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6" hidden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6" hidden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6" hidden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6" hidden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6" hidden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6" hidden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6" hidden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6" hidden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6" hidden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6" hidden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6" hidden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6" hidden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6" hidden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6" hidden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6" hidden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6" hidden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6" hidden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6" hidden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6" hidden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6" hidden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6" hidden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6" hidden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6" hidden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6" hidden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6" hidden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6" hidden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6" hidden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6" hidden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6" hidden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6" hidden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6" hidden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6" hidden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6" hidden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6" hidden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6" hidden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6" hidden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6" hidden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6" hidden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6" hidden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6" hidden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6" hidden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6" hidden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6" hidden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6" hidden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6" hidden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6" hidden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6" hidden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6" hidden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6" hidden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6" hidden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6" hidden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6" hidden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6" hidden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6" hidden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6" hidden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6" hidden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6" hidden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6" hidden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6" hidden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6" hidden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6" hidden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6" hidden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6" hidden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6" hidden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6" hidden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6" hidden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6" hidden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6" hidden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6" hidden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6" hidden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6" hidden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6" hidden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6" hidden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6" hidden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6" hidden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6" hidden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6" hidden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6" hidden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6" hidden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6" hidden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6" hidden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6" hidden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6" hidden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6" hidden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6" hidden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6" hidden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6" hidden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6" hidden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6" hidden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6" hidden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6" hidden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6" hidden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6" hidden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6" hidden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6" hidden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6" hidden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6" hidden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6" hidden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6" hidden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6" hidden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6" hidden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6" hidden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6" hidden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6" hidden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6" hidden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6" hidden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6" hidden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6" hidden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6" hidden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6" hidden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6" hidden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6" hidden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6" hidden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6" hidden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6" hidden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6" hidden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6" hidden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6" hidden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6" hidden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6" hidden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6" hidden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6" hidden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6" hidden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6" hidden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6" hidden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6" hidden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6" hidden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6" hidden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6" hidden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6" hidden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6" hidden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6" hidden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6" hidden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6" hidden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6" hidden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6" hidden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6" hidden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6" hidden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6" hidden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6" hidden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6" hidden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6" hidden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6" hidden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6" hidden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6" hidden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6" hidden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6" hidden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6" hidden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6" hidden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6" hidden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6" hidden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6" hidden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6" hidden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6" hidden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6" hidden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6" hidden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6" hidden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6" hidden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6" hidden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6" hidden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6" hidden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6" hidden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6" hidden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6" hidden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6" hidden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6" hidden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6" hidden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6" hidden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6" hidden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6" hidden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6" hidden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6" hidden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6" hidden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6" hidden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6" hidden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6" hidden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6" hidden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6" hidden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6" hidden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6" hidden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6" hidden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6" hidden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6" hidden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6" hidden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6" hidden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6" hidden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6" hidden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6" hidden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6" hidden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6" hidden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6" hidden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6" hidden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6" hidden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6" hidden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6" hidden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6" hidden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6" hidden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6" hidden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6" hidden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6" hidden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6" hidden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6" hidden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6" hidden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6" hidden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6" hidden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6" hidden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6" hidden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6" hidden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6" hidden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6" hidden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6" hidden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6" hidden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6" hidden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6" hidden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6" hidden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6" hidden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6" hidden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6" hidden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6" hidden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6" hidden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6" hidden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6" hidden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6" hidden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6" hidden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6" hidden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6" hidden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6" hidden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6" hidden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6" hidden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6" hidden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6" hidden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6" hidden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6" hidden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6" hidden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6" hidden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6" hidden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6" hidden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6" hidden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6" hidden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6" hidden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6" hidden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6" hidden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6" hidden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6" hidden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6" hidden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6" hidden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6" hidden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6" hidden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6" hidden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6" hidden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6" hidden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6" hidden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6" hidden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6" hidden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6" hidden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6" hidden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6" hidden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6" hidden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6" hidden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6" hidden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6" hidden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6" hidden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6" hidden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6" hidden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6" hidden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6" hidden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6" hidden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6" hidden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6" hidden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6" hidden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6" hidden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6" hidden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6" hidden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6" hidden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6" hidden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6" hidden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6" hidden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D44:E44"/>
    <mergeCell ref="A1:B4"/>
    <mergeCell ref="C1:G4"/>
    <mergeCell ref="H1:J1"/>
    <mergeCell ref="H2:J2"/>
    <mergeCell ref="H3:J3"/>
    <mergeCell ref="H4:J4"/>
    <mergeCell ref="A13:J13"/>
    <mergeCell ref="A15:J15"/>
    <mergeCell ref="A39:J39"/>
    <mergeCell ref="D42:E42"/>
    <mergeCell ref="D43:E43"/>
  </mergeCells>
  <pageMargins left="0.70866141732283472" right="0.70866141732283472" top="0.94488188976377963" bottom="0.74803149606299213" header="0.31496062992125984" footer="0.31496062992125984"/>
  <pageSetup scale="73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EC2F-7C86-4128-A2B3-7C862F0CD33D}">
  <sheetPr>
    <outlinePr summaryBelow="0" summaryRight="0"/>
    <pageSetUpPr fitToPage="1"/>
  </sheetPr>
  <dimension ref="A1:Z1006"/>
  <sheetViews>
    <sheetView view="pageBreakPreview" zoomScale="85" zoomScaleNormal="100" zoomScaleSheetLayoutView="85" workbookViewId="0">
      <selection activeCell="H8" sqref="H8"/>
    </sheetView>
  </sheetViews>
  <sheetFormatPr defaultColWidth="0" defaultRowHeight="0" customHeight="1" zeroHeight="1"/>
  <cols>
    <col min="1" max="1" width="12.109375" style="57" customWidth="1"/>
    <col min="2" max="2" width="10" style="57" customWidth="1"/>
    <col min="3" max="3" width="11.88671875" style="57" customWidth="1"/>
    <col min="4" max="4" width="21.6640625" style="57" customWidth="1"/>
    <col min="5" max="5" width="18.33203125" style="57" customWidth="1"/>
    <col min="6" max="6" width="16.109375" style="57" customWidth="1"/>
    <col min="7" max="7" width="14.44140625" style="57" customWidth="1"/>
    <col min="8" max="9" width="6.6640625" style="57" customWidth="1"/>
    <col min="10" max="10" width="5.5546875" style="57" customWidth="1"/>
    <col min="11" max="11" width="8.6640625" style="57" customWidth="1"/>
    <col min="12" max="26" width="8.6640625" style="57" hidden="1" customWidth="1"/>
    <col min="27" max="16384" width="14.44140625" style="57" hidden="1"/>
  </cols>
  <sheetData>
    <row r="1" spans="1:26" ht="22.5" customHeight="1">
      <c r="A1" s="221"/>
      <c r="B1" s="222"/>
      <c r="C1" s="227" t="s">
        <v>25</v>
      </c>
      <c r="D1" s="228"/>
      <c r="E1" s="228"/>
      <c r="F1" s="228"/>
      <c r="G1" s="222"/>
      <c r="H1" s="214" t="s">
        <v>28</v>
      </c>
      <c r="I1" s="215"/>
      <c r="J1" s="216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22.5" customHeight="1">
      <c r="A2" s="223"/>
      <c r="B2" s="224"/>
      <c r="C2" s="223"/>
      <c r="D2" s="229"/>
      <c r="E2" s="229"/>
      <c r="F2" s="229"/>
      <c r="G2" s="224"/>
      <c r="H2" s="214" t="s">
        <v>70</v>
      </c>
      <c r="I2" s="215"/>
      <c r="J2" s="216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22.5" customHeight="1">
      <c r="A3" s="225"/>
      <c r="B3" s="226"/>
      <c r="C3" s="225"/>
      <c r="D3" s="230"/>
      <c r="E3" s="230"/>
      <c r="F3" s="230"/>
      <c r="G3" s="226"/>
      <c r="H3" s="214" t="s">
        <v>71</v>
      </c>
      <c r="I3" s="215"/>
      <c r="J3" s="216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6">
      <c r="A4" s="26"/>
      <c r="B4" s="26"/>
      <c r="C4" s="26"/>
      <c r="D4" s="26"/>
      <c r="E4" s="26"/>
      <c r="F4" s="26"/>
      <c r="G4" s="26"/>
      <c r="H4" s="26"/>
      <c r="I4" s="26"/>
      <c r="J4" s="26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6">
      <c r="A5" s="26"/>
      <c r="B5" s="26"/>
      <c r="C5" s="26"/>
      <c r="D5" s="26"/>
      <c r="E5" s="26"/>
      <c r="F5" s="26"/>
      <c r="G5" s="26"/>
      <c r="H5" s="26"/>
      <c r="I5" s="26"/>
      <c r="J5" s="2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6">
      <c r="A6" s="26"/>
      <c r="B6" s="26"/>
      <c r="C6" s="26"/>
      <c r="D6" s="26"/>
      <c r="E6" s="26"/>
      <c r="F6" s="26"/>
      <c r="G6" s="26"/>
      <c r="H6" s="26"/>
      <c r="I6" s="26"/>
      <c r="J6" s="26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6">
      <c r="A7" s="26"/>
      <c r="B7" s="26"/>
      <c r="C7" s="26"/>
      <c r="D7" s="26"/>
      <c r="E7" s="26"/>
      <c r="F7" s="26"/>
      <c r="G7" s="26"/>
      <c r="H7" s="26"/>
      <c r="I7" s="26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6">
      <c r="A8" s="26"/>
      <c r="B8" s="26"/>
      <c r="C8" s="26"/>
      <c r="D8" s="26"/>
      <c r="E8" s="26"/>
      <c r="F8" s="26"/>
      <c r="G8" s="26"/>
      <c r="H8" s="26"/>
      <c r="I8" s="26"/>
      <c r="J8" s="26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6">
      <c r="A9" s="26"/>
      <c r="B9" s="26"/>
      <c r="C9" s="26"/>
      <c r="D9" s="26"/>
      <c r="E9" s="26"/>
      <c r="F9" s="26"/>
      <c r="G9" s="26"/>
      <c r="H9" s="26"/>
      <c r="I9" s="26"/>
      <c r="J9" s="26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6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6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5.6">
      <c r="A12" s="217" t="s">
        <v>25</v>
      </c>
      <c r="B12" s="211"/>
      <c r="C12" s="211"/>
      <c r="D12" s="211"/>
      <c r="E12" s="211"/>
      <c r="F12" s="211"/>
      <c r="G12" s="211"/>
      <c r="H12" s="211"/>
      <c r="I12" s="211"/>
      <c r="J12" s="211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6">
      <c r="A13" s="217" t="s">
        <v>89</v>
      </c>
      <c r="B13" s="211"/>
      <c r="C13" s="211"/>
      <c r="D13" s="211"/>
      <c r="E13" s="211"/>
      <c r="F13" s="211"/>
      <c r="G13" s="211"/>
      <c r="H13" s="211"/>
      <c r="I13" s="211"/>
      <c r="J13" s="211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6">
      <c r="A14" s="217" t="s">
        <v>55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6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6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6">
      <c r="A18" s="26"/>
      <c r="B18" s="26"/>
      <c r="C18" s="26"/>
      <c r="D18" s="28"/>
      <c r="E18" s="218"/>
      <c r="F18" s="211"/>
      <c r="G18" s="26"/>
      <c r="H18" s="26"/>
      <c r="I18" s="26"/>
      <c r="J18" s="26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6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>
      <c r="A20" s="26"/>
      <c r="B20" s="26"/>
      <c r="C20" s="26"/>
      <c r="D20" s="26"/>
      <c r="E20" s="219"/>
      <c r="F20" s="211"/>
      <c r="G20" s="26"/>
      <c r="H20" s="26"/>
      <c r="I20" s="26"/>
      <c r="J20" s="26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" customHeight="1">
      <c r="A32" s="26"/>
      <c r="B32" s="26"/>
      <c r="C32" s="210" t="s">
        <v>33</v>
      </c>
      <c r="D32" s="211"/>
      <c r="E32" s="220" t="s">
        <v>63</v>
      </c>
      <c r="F32" s="211"/>
      <c r="G32" s="211"/>
      <c r="H32" s="26"/>
      <c r="I32" s="26"/>
      <c r="J32" s="26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" customHeight="1">
      <c r="A33" s="26"/>
      <c r="B33" s="26"/>
      <c r="C33" s="210"/>
      <c r="D33" s="211"/>
      <c r="E33" s="220"/>
      <c r="F33" s="211"/>
      <c r="G33" s="211"/>
      <c r="H33" s="26"/>
      <c r="I33" s="26"/>
      <c r="J33" s="26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>
      <c r="A34" s="26"/>
      <c r="B34" s="26"/>
      <c r="C34" s="210" t="s">
        <v>34</v>
      </c>
      <c r="D34" s="211"/>
      <c r="E34" s="220" t="s">
        <v>90</v>
      </c>
      <c r="F34" s="211"/>
      <c r="G34" s="211"/>
      <c r="H34" s="26"/>
      <c r="I34" s="26"/>
      <c r="J34" s="26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>
      <c r="A35" s="26"/>
      <c r="B35" s="26"/>
      <c r="C35" s="210"/>
      <c r="D35" s="211"/>
      <c r="E35" s="220"/>
      <c r="F35" s="211"/>
      <c r="G35" s="211"/>
      <c r="H35" s="26"/>
      <c r="I35" s="26"/>
      <c r="J35" s="26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>
      <c r="A36" s="26"/>
      <c r="B36" s="26"/>
      <c r="C36" s="210" t="s">
        <v>35</v>
      </c>
      <c r="D36" s="211"/>
      <c r="E36" s="220" t="s">
        <v>64</v>
      </c>
      <c r="F36" s="211"/>
      <c r="G36" s="211"/>
      <c r="H36" s="26"/>
      <c r="I36" s="26"/>
      <c r="J36" s="26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>
      <c r="A37" s="26"/>
      <c r="B37" s="26"/>
      <c r="C37" s="29"/>
      <c r="D37" s="58"/>
      <c r="E37" s="26"/>
      <c r="F37" s="58"/>
      <c r="G37" s="58"/>
      <c r="H37" s="26"/>
      <c r="I37" s="26"/>
      <c r="J37" s="26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>
      <c r="A38" s="26"/>
      <c r="B38" s="26"/>
      <c r="C38" s="210"/>
      <c r="D38" s="211"/>
      <c r="E38" s="220"/>
      <c r="F38" s="211"/>
      <c r="G38" s="211"/>
      <c r="H38" s="26"/>
      <c r="I38" s="26"/>
      <c r="J38" s="26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6"/>
      <c r="B39" s="26"/>
      <c r="C39" s="210" t="s">
        <v>12</v>
      </c>
      <c r="D39" s="211"/>
      <c r="E39" s="212">
        <v>45877</v>
      </c>
      <c r="F39" s="213"/>
      <c r="G39" s="213"/>
      <c r="H39" s="26"/>
      <c r="I39" s="26"/>
      <c r="J39" s="26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>
      <c r="A40" s="26"/>
      <c r="B40" s="26"/>
      <c r="C40" s="219"/>
      <c r="D40" s="211"/>
      <c r="E40" s="219"/>
      <c r="F40" s="211"/>
      <c r="G40" s="211"/>
      <c r="H40" s="26"/>
      <c r="I40" s="26"/>
      <c r="J40" s="26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>
      <c r="A41" s="26"/>
      <c r="B41" s="26"/>
      <c r="C41" s="219"/>
      <c r="D41" s="211"/>
      <c r="E41" s="219"/>
      <c r="F41" s="211"/>
      <c r="G41" s="26"/>
      <c r="H41" s="26"/>
      <c r="I41" s="26"/>
      <c r="J41" s="26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>
      <c r="A43" s="231" t="s">
        <v>19</v>
      </c>
      <c r="B43" s="229"/>
      <c r="C43" s="229"/>
      <c r="D43" s="229"/>
      <c r="E43" s="229"/>
      <c r="F43" s="229"/>
      <c r="G43" s="229"/>
      <c r="H43" s="229"/>
      <c r="I43" s="229"/>
      <c r="J43" s="229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>
      <c r="A44" s="26"/>
      <c r="B44" s="26"/>
      <c r="C44" s="217"/>
      <c r="D44" s="211"/>
      <c r="E44" s="26"/>
      <c r="F44" s="26"/>
      <c r="G44" s="26"/>
      <c r="H44" s="26"/>
      <c r="I44" s="26"/>
      <c r="J44" s="26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32.25" customHeight="1">
      <c r="A45" s="26"/>
      <c r="B45" s="26"/>
      <c r="C45" s="239" t="s">
        <v>20</v>
      </c>
      <c r="D45" s="233"/>
      <c r="E45" s="239" t="s">
        <v>36</v>
      </c>
      <c r="F45" s="233"/>
      <c r="G45" s="27"/>
      <c r="H45" s="26"/>
      <c r="I45" s="26"/>
      <c r="J45" s="26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>
      <c r="A46" s="26"/>
      <c r="B46" s="26"/>
      <c r="C46" s="240" t="s">
        <v>65</v>
      </c>
      <c r="D46" s="237"/>
      <c r="E46" s="241">
        <v>45860</v>
      </c>
      <c r="F46" s="237"/>
      <c r="G46" s="26"/>
      <c r="H46" s="26"/>
      <c r="I46" s="26"/>
      <c r="J46" s="26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>
      <c r="A47" s="26"/>
      <c r="B47" s="26"/>
      <c r="C47" s="236" t="s">
        <v>132</v>
      </c>
      <c r="D47" s="237"/>
      <c r="E47" s="242">
        <v>45877</v>
      </c>
      <c r="F47" s="237"/>
      <c r="G47" s="26"/>
      <c r="H47" s="26"/>
      <c r="I47" s="26"/>
      <c r="J47" s="26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>
      <c r="A48" s="26"/>
      <c r="B48" s="26"/>
      <c r="C48" s="235"/>
      <c r="D48" s="233"/>
      <c r="E48" s="232"/>
      <c r="F48" s="233"/>
      <c r="G48" s="26"/>
      <c r="H48" s="26"/>
      <c r="I48" s="26"/>
      <c r="J48" s="26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>
      <c r="A49" s="26"/>
      <c r="B49" s="26"/>
      <c r="C49" s="238"/>
      <c r="D49" s="233"/>
      <c r="E49" s="234"/>
      <c r="F49" s="233"/>
      <c r="G49" s="26"/>
      <c r="H49" s="26"/>
      <c r="I49" s="26"/>
      <c r="J49" s="26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>
      <c r="A50" s="26"/>
      <c r="B50" s="26"/>
      <c r="C50" s="235"/>
      <c r="D50" s="233"/>
      <c r="E50" s="232"/>
      <c r="F50" s="233"/>
      <c r="G50" s="26"/>
      <c r="H50" s="26"/>
      <c r="I50" s="26"/>
      <c r="J50" s="26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>
      <c r="A55" s="26"/>
      <c r="B55" s="26"/>
      <c r="C55" s="58"/>
      <c r="D55" s="26"/>
      <c r="E55" s="26"/>
      <c r="F55" s="26"/>
      <c r="G55" s="26"/>
      <c r="H55" s="26"/>
      <c r="I55" s="26"/>
      <c r="J55" s="26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hidden="1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hidden="1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hidden="1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hidden="1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hidden="1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hidden="1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hidden="1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hidden="1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hidden="1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hidden="1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hidden="1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hidden="1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hidden="1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hidden="1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hidden="1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hidden="1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hidden="1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hidden="1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hidden="1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hidden="1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hidden="1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hidden="1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hidden="1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hidden="1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hidden="1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hidden="1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hidden="1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hidden="1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hidden="1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hidden="1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hidden="1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hidden="1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hidden="1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hidden="1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hidden="1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hidden="1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hidden="1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hidden="1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hidden="1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hidden="1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hidden="1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hidden="1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hidden="1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hidden="1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hidden="1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hidden="1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hidden="1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hidden="1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hidden="1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hidden="1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hidden="1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hidden="1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hidden="1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hidden="1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hidden="1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hidden="1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hidden="1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hidden="1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hidden="1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.75" hidden="1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hidden="1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.75" hidden="1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.75" hidden="1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.75" hidden="1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.75" hidden="1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hidden="1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hidden="1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hidden="1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hidden="1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hidden="1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hidden="1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hidden="1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hidden="1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hidden="1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hidden="1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hidden="1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hidden="1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hidden="1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hidden="1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hidden="1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hidden="1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hidden="1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hidden="1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hidden="1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hidden="1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hidden="1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hidden="1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.75" hidden="1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hidden="1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hidden="1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hidden="1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hidden="1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hidden="1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hidden="1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hidden="1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.75" hidden="1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hidden="1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hidden="1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hidden="1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hidden="1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hidden="1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hidden="1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hidden="1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hidden="1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hidden="1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hidden="1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hidden="1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hidden="1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hidden="1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hidden="1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hidden="1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hidden="1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hidden="1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hidden="1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hidden="1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hidden="1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hidden="1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hidden="1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hidden="1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hidden="1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hidden="1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hidden="1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hidden="1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hidden="1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hidden="1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hidden="1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hidden="1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hidden="1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hidden="1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hidden="1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hidden="1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hidden="1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hidden="1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hidden="1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hidden="1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hidden="1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hidden="1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hidden="1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hidden="1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hidden="1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hidden="1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hidden="1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hidden="1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hidden="1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hidden="1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hidden="1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hidden="1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hidden="1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hidden="1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hidden="1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hidden="1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hidden="1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hidden="1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hidden="1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hidden="1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hidden="1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hidden="1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hidden="1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hidden="1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hidden="1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hidden="1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hidden="1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hidden="1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hidden="1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hidden="1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hidden="1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hidden="1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hidden="1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hidden="1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.75" hidden="1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hidden="1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hidden="1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hidden="1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hidden="1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hidden="1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hidden="1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.75" hidden="1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hidden="1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hidden="1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hidden="1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hidden="1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hidden="1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hidden="1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hidden="1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hidden="1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hidden="1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hidden="1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hidden="1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hidden="1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hidden="1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hidden="1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hidden="1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hidden="1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hidden="1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hidden="1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hidden="1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hidden="1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hidden="1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hidden="1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hidden="1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hidden="1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hidden="1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hidden="1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hidden="1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hidden="1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hidden="1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hidden="1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hidden="1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hidden="1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hidden="1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hidden="1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hidden="1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.75" hidden="1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hidden="1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hidden="1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hidden="1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hidden="1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hidden="1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hidden="1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hidden="1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hidden="1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hidden="1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hidden="1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hidden="1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hidden="1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hidden="1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hidden="1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.75" hidden="1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hidden="1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hidden="1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hidden="1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hidden="1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hidden="1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hidden="1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hidden="1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.75" hidden="1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hidden="1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hidden="1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hidden="1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hidden="1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hidden="1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hidden="1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hidden="1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.75" hidden="1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hidden="1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hidden="1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hidden="1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hidden="1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hidden="1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hidden="1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hidden="1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hidden="1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hidden="1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hidden="1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hidden="1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hidden="1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hidden="1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hidden="1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hidden="1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hidden="1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hidden="1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hidden="1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hidden="1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hidden="1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hidden="1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.75" hidden="1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.75" hidden="1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.75" hidden="1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.75" hidden="1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hidden="1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hidden="1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hidden="1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hidden="1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hidden="1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hidden="1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hidden="1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hidden="1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hidden="1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hidden="1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hidden="1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hidden="1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hidden="1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hidden="1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hidden="1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hidden="1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hidden="1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hidden="1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hidden="1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hidden="1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hidden="1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hidden="1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hidden="1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hidden="1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hidden="1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hidden="1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hidden="1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hidden="1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hidden="1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hidden="1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hidden="1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hidden="1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hidden="1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hidden="1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hidden="1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hidden="1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hidden="1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hidden="1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hidden="1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hidden="1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hidden="1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hidden="1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hidden="1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hidden="1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hidden="1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hidden="1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hidden="1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hidden="1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hidden="1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hidden="1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hidden="1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hidden="1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hidden="1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hidden="1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hidden="1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hidden="1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hidden="1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hidden="1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hidden="1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hidden="1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hidden="1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hidden="1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hidden="1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hidden="1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hidden="1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hidden="1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hidden="1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hidden="1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hidden="1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hidden="1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hidden="1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hidden="1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hidden="1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hidden="1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hidden="1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hidden="1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hidden="1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hidden="1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hidden="1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hidden="1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hidden="1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hidden="1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hidden="1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hidden="1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hidden="1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hidden="1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hidden="1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hidden="1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hidden="1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hidden="1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hidden="1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hidden="1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hidden="1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hidden="1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hidden="1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hidden="1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hidden="1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hidden="1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hidden="1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hidden="1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hidden="1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hidden="1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hidden="1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hidden="1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hidden="1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hidden="1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hidden="1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hidden="1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hidden="1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hidden="1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hidden="1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hidden="1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hidden="1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hidden="1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hidden="1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hidden="1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hidden="1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hidden="1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hidden="1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hidden="1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hidden="1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hidden="1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hidden="1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hidden="1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hidden="1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hidden="1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hidden="1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hidden="1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hidden="1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hidden="1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hidden="1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hidden="1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hidden="1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hidden="1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hidden="1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hidden="1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hidden="1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hidden="1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hidden="1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hidden="1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hidden="1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hidden="1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hidden="1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hidden="1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hidden="1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hidden="1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hidden="1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hidden="1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hidden="1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hidden="1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hidden="1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hidden="1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hidden="1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hidden="1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hidden="1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hidden="1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hidden="1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hidden="1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hidden="1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hidden="1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hidden="1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hidden="1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hidden="1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hidden="1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hidden="1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hidden="1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hidden="1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hidden="1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hidden="1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hidden="1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hidden="1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hidden="1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hidden="1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hidden="1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hidden="1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hidden="1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hidden="1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hidden="1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hidden="1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hidden="1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hidden="1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hidden="1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hidden="1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hidden="1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hidden="1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hidden="1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hidden="1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hidden="1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hidden="1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hidden="1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hidden="1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hidden="1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hidden="1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hidden="1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hidden="1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hidden="1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hidden="1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hidden="1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hidden="1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hidden="1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hidden="1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hidden="1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hidden="1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hidden="1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hidden="1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hidden="1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hidden="1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hidden="1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hidden="1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hidden="1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hidden="1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hidden="1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hidden="1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hidden="1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hidden="1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hidden="1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hidden="1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hidden="1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hidden="1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hidden="1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hidden="1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hidden="1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hidden="1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hidden="1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hidden="1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hidden="1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hidden="1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hidden="1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hidden="1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hidden="1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hidden="1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hidden="1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hidden="1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hidden="1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hidden="1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hidden="1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hidden="1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hidden="1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hidden="1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hidden="1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hidden="1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hidden="1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hidden="1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hidden="1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hidden="1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hidden="1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hidden="1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hidden="1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hidden="1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hidden="1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hidden="1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hidden="1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hidden="1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hidden="1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.75" hidden="1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.75" hidden="1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.75" hidden="1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.75" hidden="1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.75" hidden="1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.75" hidden="1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.75" hidden="1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.75" hidden="1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.75" hidden="1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.75" hidden="1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.75" hidden="1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.75" hidden="1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.75" hidden="1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.75" hidden="1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.75" hidden="1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.75" hidden="1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.75" hidden="1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.75" hidden="1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.75" hidden="1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.75" hidden="1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.75" hidden="1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.75" hidden="1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.75" hidden="1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.75" hidden="1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.75" hidden="1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.75" hidden="1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.75" hidden="1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.75" hidden="1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.75" hidden="1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.75" hidden="1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.75" hidden="1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.75" hidden="1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.75" hidden="1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.75" hidden="1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.75" hidden="1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.75" hidden="1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.75" hidden="1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.75" hidden="1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.75" hidden="1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.75" hidden="1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.75" hidden="1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.75" hidden="1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.75" hidden="1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.75" hidden="1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.75" hidden="1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.75" hidden="1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.75" hidden="1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.75" hidden="1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.75" hidden="1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.75" hidden="1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.75" hidden="1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.75" hidden="1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.75" hidden="1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.75" hidden="1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.75" hidden="1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.75" hidden="1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.75" hidden="1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.75" hidden="1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.75" hidden="1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.75" hidden="1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.75" hidden="1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.75" hidden="1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.75" hidden="1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.75" hidden="1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.75" hidden="1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.75" hidden="1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.75" hidden="1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.75" hidden="1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.75" hidden="1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.75" hidden="1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.75" hidden="1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.75" hidden="1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.75" hidden="1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.75" hidden="1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.75" hidden="1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.75" hidden="1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.75" hidden="1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.75" hidden="1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.75" hidden="1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.75" hidden="1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.75" hidden="1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.75" hidden="1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.75" hidden="1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.75" hidden="1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.75" hidden="1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.75" hidden="1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.75" hidden="1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.75" hidden="1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.75" hidden="1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.75" hidden="1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.75" hidden="1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.75" hidden="1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.75" hidden="1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.75" hidden="1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.75" hidden="1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.75" hidden="1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.75" hidden="1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.75" hidden="1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.75" hidden="1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.75" hidden="1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.75" hidden="1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.75" hidden="1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.75" hidden="1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.75" hidden="1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.75" hidden="1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.75" hidden="1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.75" hidden="1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.75" hidden="1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.75" hidden="1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.75" hidden="1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.75" hidden="1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.75" hidden="1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.75" hidden="1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.75" hidden="1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.75" hidden="1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.75" hidden="1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.75" hidden="1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.75" hidden="1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.75" hidden="1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.75" hidden="1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.75" hidden="1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.75" hidden="1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.75" hidden="1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.75" hidden="1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.75" hidden="1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.75" hidden="1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.75" hidden="1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.75" hidden="1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.75" hidden="1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.75" hidden="1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.75" hidden="1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.75" hidden="1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.75" hidden="1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.75" hidden="1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.75" hidden="1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.75" hidden="1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.75" hidden="1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.75" hidden="1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.75" hidden="1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.75" hidden="1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.75" hidden="1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.75" hidden="1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.75" hidden="1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.75" hidden="1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.75" hidden="1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.75" hidden="1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.75" hidden="1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.75" hidden="1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.75" hidden="1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.75" hidden="1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.75" hidden="1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.75" hidden="1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.75" hidden="1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.75" hidden="1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.75" hidden="1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.75" hidden="1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.75" hidden="1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.75" hidden="1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.75" hidden="1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.75" hidden="1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.75" hidden="1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.75" hidden="1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.75" hidden="1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.75" hidden="1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.75" hidden="1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.75" hidden="1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.75" hidden="1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.75" hidden="1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.75" hidden="1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.75" hidden="1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.75" hidden="1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.75" hidden="1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.75" hidden="1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.75" hidden="1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.75" hidden="1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.75" hidden="1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.75" hidden="1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.75" hidden="1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.75" hidden="1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.75" hidden="1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.75" hidden="1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.75" hidden="1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.75" hidden="1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.75" hidden="1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.75" hidden="1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.75" hidden="1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.75" hidden="1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.75" hidden="1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.75" hidden="1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.75" hidden="1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.75" hidden="1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.75" hidden="1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.75" hidden="1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.75" hidden="1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.75" hidden="1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.75" hidden="1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.75" hidden="1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.75" hidden="1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.75" hidden="1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.75" hidden="1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.75" hidden="1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.75" hidden="1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.75" hidden="1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.75" hidden="1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.75" hidden="1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.75" hidden="1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.75" hidden="1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.75" hidden="1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.75" hidden="1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.75" hidden="1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.75" hidden="1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.75" hidden="1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.75" hidden="1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.75" hidden="1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.75" hidden="1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.75" hidden="1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.75" hidden="1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.75" hidden="1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.75" hidden="1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.75" hidden="1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.75" hidden="1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.75" hidden="1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.75" hidden="1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.75" hidden="1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.75" hidden="1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.75" hidden="1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.75" hidden="1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.75" hidden="1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.75" hidden="1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.75" hidden="1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.75" hidden="1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.75" hidden="1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.75" hidden="1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.75" hidden="1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.75" hidden="1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.75" hidden="1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.75" hidden="1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.75" hidden="1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.75" hidden="1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.75" hidden="1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.75" hidden="1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.75" hidden="1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.75" hidden="1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.75" hidden="1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.75" hidden="1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.75" hidden="1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.75" hidden="1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.75" hidden="1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.75" hidden="1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.75" hidden="1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.75" hidden="1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.75" hidden="1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.75" hidden="1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.75" hidden="1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.75" hidden="1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.75" hidden="1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.75" hidden="1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.75" hidden="1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.75" hidden="1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.75" hidden="1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.75" hidden="1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.75" hidden="1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.75" hidden="1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.75" hidden="1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.75" hidden="1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.75" hidden="1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.75" hidden="1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.75" hidden="1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.75" hidden="1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.75" hidden="1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.75" hidden="1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.75" hidden="1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.75" hidden="1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.75" hidden="1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.75" hidden="1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.75" hidden="1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.75" hidden="1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.75" hidden="1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.75" hidden="1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.75" hidden="1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.75" hidden="1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.75" hidden="1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.75" hidden="1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.75" hidden="1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.75" hidden="1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.75" hidden="1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.75" hidden="1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.75" hidden="1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.75" hidden="1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.75" hidden="1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.75" hidden="1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.75" hidden="1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.75" hidden="1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.75" hidden="1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.75" hidden="1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.75" hidden="1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.75" hidden="1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.75" hidden="1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.75" hidden="1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.75" hidden="1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.75" hidden="1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.75" hidden="1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.75" hidden="1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.75" hidden="1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.75" hidden="1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.75" hidden="1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.75" hidden="1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.75" hidden="1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.75" hidden="1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.75" hidden="1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.75" hidden="1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.75" hidden="1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.75" hidden="1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.75" hidden="1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.75" hidden="1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.75" hidden="1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.75" hidden="1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.75" hidden="1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.75" hidden="1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.75" hidden="1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.75" hidden="1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.75" hidden="1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.75" hidden="1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.75" hidden="1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.75" hidden="1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.75" hidden="1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.75" hidden="1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.75" hidden="1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.75" hidden="1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.75" hidden="1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.75" hidden="1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.75" hidden="1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.75" hidden="1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.75" hidden="1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.75" hidden="1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.75" hidden="1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.75" hidden="1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.75" hidden="1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.75" hidden="1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.75" hidden="1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.75" hidden="1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.75" hidden="1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.75" hidden="1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.75" hidden="1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.75" hidden="1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.75" hidden="1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.75" hidden="1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.75" hidden="1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.75" hidden="1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.75" hidden="1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.75" hidden="1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.75" hidden="1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.75" hidden="1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.75" hidden="1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.75" hidden="1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.75" hidden="1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.75" hidden="1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.75" hidden="1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.75" hidden="1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.75" hidden="1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.75" hidden="1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.75" hidden="1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.75" hidden="1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.75" hidden="1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.75" hidden="1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.75" hidden="1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.75" hidden="1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.75" hidden="1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.75" hidden="1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.75" hidden="1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.75" hidden="1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.75" hidden="1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.75" hidden="1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.75" hidden="1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.75" hidden="1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.75" hidden="1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.75" hidden="1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.75" hidden="1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.75" hidden="1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.75" hidden="1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.75" hidden="1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.75" hidden="1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.75" hidden="1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.75" hidden="1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.75" hidden="1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.75" hidden="1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.75" hidden="1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.75" hidden="1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.75" hidden="1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.75" hidden="1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.75" hidden="1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.75" hidden="1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.75" hidden="1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.75" hidden="1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.75" hidden="1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.75" hidden="1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.75" hidden="1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.75" hidden="1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.75" hidden="1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.75" hidden="1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.75" hidden="1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.75" hidden="1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.75" hidden="1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.75" hidden="1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.75" hidden="1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.75" hidden="1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.75" hidden="1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.75" hidden="1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.75" hidden="1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.75" hidden="1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.75" hidden="1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.75" hidden="1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.75" hidden="1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.75" hidden="1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.75" hidden="1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.75" hidden="1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.75" hidden="1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.75" hidden="1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.75" hidden="1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.75" hidden="1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ht="15" customHeight="1">
      <c r="A1001" s="58"/>
      <c r="B1001" s="58"/>
      <c r="C1001" s="58"/>
      <c r="D1001" s="58"/>
      <c r="E1001" s="58"/>
      <c r="F1001" s="58"/>
      <c r="G1001" s="58"/>
      <c r="H1001" s="58"/>
      <c r="I1001" s="58"/>
      <c r="J1001" s="58"/>
    </row>
    <row r="1002" spans="1:26" ht="15" customHeight="1">
      <c r="A1002" s="58"/>
      <c r="B1002" s="58"/>
      <c r="C1002" s="58"/>
      <c r="D1002" s="58"/>
      <c r="E1002" s="58"/>
      <c r="F1002" s="58"/>
      <c r="G1002" s="58"/>
      <c r="H1002" s="58"/>
      <c r="I1002" s="58"/>
      <c r="J1002" s="58"/>
    </row>
    <row r="1003" spans="1:26" ht="15" customHeight="1">
      <c r="A1003" s="58"/>
      <c r="B1003" s="58"/>
      <c r="C1003" s="58"/>
      <c r="D1003" s="58"/>
      <c r="E1003" s="58"/>
      <c r="F1003" s="58"/>
      <c r="G1003" s="58"/>
      <c r="H1003" s="58"/>
      <c r="I1003" s="58"/>
      <c r="J1003" s="58"/>
    </row>
    <row r="1004" spans="1:26" ht="15" customHeight="1">
      <c r="A1004" s="58"/>
      <c r="B1004" s="58"/>
      <c r="C1004" s="58"/>
      <c r="D1004" s="58"/>
      <c r="E1004" s="58"/>
      <c r="F1004" s="58"/>
      <c r="G1004" s="58"/>
      <c r="H1004" s="58"/>
      <c r="I1004" s="58"/>
      <c r="J1004" s="58"/>
    </row>
    <row r="1005" spans="1:26" ht="15" customHeight="1"/>
    <row r="1006" spans="1:26" ht="15" customHeight="1"/>
  </sheetData>
  <mergeCells count="42">
    <mergeCell ref="C45:D45"/>
    <mergeCell ref="C46:D46"/>
    <mergeCell ref="E45:F45"/>
    <mergeCell ref="E46:F46"/>
    <mergeCell ref="E47:F47"/>
    <mergeCell ref="E48:F48"/>
    <mergeCell ref="E49:F49"/>
    <mergeCell ref="E50:F50"/>
    <mergeCell ref="C50:D50"/>
    <mergeCell ref="C47:D47"/>
    <mergeCell ref="C48:D48"/>
    <mergeCell ref="C49:D49"/>
    <mergeCell ref="C44:D44"/>
    <mergeCell ref="C41:D41"/>
    <mergeCell ref="E41:F41"/>
    <mergeCell ref="E33:G33"/>
    <mergeCell ref="E34:G34"/>
    <mergeCell ref="E35:G35"/>
    <mergeCell ref="E36:G36"/>
    <mergeCell ref="E38:G38"/>
    <mergeCell ref="E40:G40"/>
    <mergeCell ref="C35:D35"/>
    <mergeCell ref="A43:J43"/>
    <mergeCell ref="C36:D36"/>
    <mergeCell ref="C38:D38"/>
    <mergeCell ref="C40:D40"/>
    <mergeCell ref="C33:D33"/>
    <mergeCell ref="C34:D34"/>
    <mergeCell ref="C39:D39"/>
    <mergeCell ref="E39:G39"/>
    <mergeCell ref="H1:J1"/>
    <mergeCell ref="H2:J2"/>
    <mergeCell ref="H3:J3"/>
    <mergeCell ref="A12:J12"/>
    <mergeCell ref="E18:F18"/>
    <mergeCell ref="E20:F20"/>
    <mergeCell ref="C32:D32"/>
    <mergeCell ref="E32:G32"/>
    <mergeCell ref="A13:J13"/>
    <mergeCell ref="A14:J14"/>
    <mergeCell ref="A1:B3"/>
    <mergeCell ref="C1:G3"/>
  </mergeCells>
  <pageMargins left="0.7" right="0.7" top="0.75" bottom="0.75" header="0.3" footer="0.3"/>
  <pageSetup scale="68" orientation="portrait" r:id="rId1"/>
  <headerFooter>
    <oddFooter>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163D-C129-4372-9E0A-4670BFDBD379}">
  <sheetPr>
    <tabColor theme="6" tint="0.79998168889431442"/>
    <pageSetUpPr fitToPage="1"/>
  </sheetPr>
  <dimension ref="A1:AO56"/>
  <sheetViews>
    <sheetView topLeftCell="A24" zoomScale="85" zoomScaleNormal="85" zoomScaleSheetLayoutView="85" zoomScalePageLayoutView="55" workbookViewId="0">
      <selection activeCell="C37" sqref="C37"/>
    </sheetView>
  </sheetViews>
  <sheetFormatPr defaultColWidth="11.44140625" defaultRowHeight="13.8"/>
  <cols>
    <col min="1" max="1" width="30" style="59" customWidth="1"/>
    <col min="2" max="2" width="45.44140625" style="59" bestFit="1" customWidth="1"/>
    <col min="3" max="3" width="13.44140625" style="59" customWidth="1"/>
    <col min="4" max="4" width="26" style="59" bestFit="1" customWidth="1"/>
    <col min="5" max="5" width="26.109375" style="59" customWidth="1"/>
    <col min="6" max="6" width="11.44140625" style="59"/>
    <col min="7" max="7" width="30" style="59" customWidth="1"/>
    <col min="8" max="8" width="45.44140625" style="59" bestFit="1" customWidth="1"/>
    <col min="9" max="9" width="13.44140625" style="59" customWidth="1"/>
    <col min="10" max="10" width="26" style="59" bestFit="1" customWidth="1"/>
    <col min="11" max="11" width="26.109375" style="59" customWidth="1"/>
    <col min="12" max="12" width="11.44140625" style="59"/>
    <col min="13" max="13" width="30" style="59" customWidth="1"/>
    <col min="14" max="14" width="45.44140625" style="59" bestFit="1" customWidth="1"/>
    <col min="15" max="15" width="13.44140625" style="59" customWidth="1"/>
    <col min="16" max="16" width="26" style="59" bestFit="1" customWidth="1"/>
    <col min="17" max="17" width="26.109375" style="59" customWidth="1"/>
    <col min="18" max="18" width="11.44140625" style="59"/>
    <col min="19" max="19" width="30" style="59" customWidth="1"/>
    <col min="20" max="20" width="45.44140625" style="59" bestFit="1" customWidth="1"/>
    <col min="21" max="21" width="13.44140625" style="59" customWidth="1"/>
    <col min="22" max="22" width="26" style="59" bestFit="1" customWidth="1"/>
    <col min="23" max="23" width="26.109375" style="59" customWidth="1"/>
    <col min="24" max="24" width="11.44140625" style="59"/>
    <col min="25" max="25" width="30" style="59" customWidth="1"/>
    <col min="26" max="26" width="45.44140625" style="59" bestFit="1" customWidth="1"/>
    <col min="27" max="27" width="13.44140625" style="59" customWidth="1"/>
    <col min="28" max="28" width="26" style="59" bestFit="1" customWidth="1"/>
    <col min="29" max="29" width="26.109375" style="59" customWidth="1"/>
    <col min="30" max="30" width="11.44140625" style="59"/>
    <col min="31" max="31" width="30" style="59" customWidth="1"/>
    <col min="32" max="32" width="45.44140625" style="59" bestFit="1" customWidth="1"/>
    <col min="33" max="33" width="13.44140625" style="59" customWidth="1"/>
    <col min="34" max="34" width="26" style="59" bestFit="1" customWidth="1"/>
    <col min="35" max="35" width="26.109375" style="59" customWidth="1"/>
    <col min="36" max="36" width="11.44140625" style="59"/>
    <col min="37" max="37" width="30" style="59" customWidth="1"/>
    <col min="38" max="38" width="45.44140625" style="59" bestFit="1" customWidth="1"/>
    <col min="39" max="39" width="13.44140625" style="59" customWidth="1"/>
    <col min="40" max="40" width="26" style="59" bestFit="1" customWidth="1"/>
    <col min="41" max="41" width="26.109375" style="59" customWidth="1"/>
    <col min="42" max="16384" width="11.44140625" style="59"/>
  </cols>
  <sheetData>
    <row r="1" spans="1:41" ht="25.8" customHeight="1">
      <c r="A1" s="30"/>
      <c r="B1" s="248" t="s">
        <v>25</v>
      </c>
      <c r="C1" s="228"/>
      <c r="D1" s="222"/>
      <c r="E1" s="31" t="s">
        <v>28</v>
      </c>
    </row>
    <row r="2" spans="1:41" s="61" customFormat="1" ht="24" customHeight="1">
      <c r="A2" s="60"/>
      <c r="B2" s="249"/>
      <c r="C2" s="229"/>
      <c r="D2" s="224"/>
      <c r="E2" s="31" t="s">
        <v>70</v>
      </c>
      <c r="G2" s="59"/>
      <c r="H2" s="59"/>
      <c r="I2" s="59"/>
      <c r="J2" s="59"/>
      <c r="K2" s="59"/>
      <c r="M2" s="59"/>
      <c r="N2" s="59"/>
      <c r="O2" s="59"/>
      <c r="P2" s="59"/>
      <c r="Q2" s="59"/>
      <c r="S2" s="59"/>
      <c r="T2" s="59"/>
      <c r="U2" s="59"/>
      <c r="V2" s="59"/>
      <c r="W2" s="59"/>
      <c r="Y2" s="59"/>
      <c r="Z2" s="59"/>
      <c r="AA2" s="59"/>
      <c r="AB2" s="59"/>
      <c r="AC2" s="59"/>
      <c r="AE2" s="59"/>
      <c r="AF2" s="59"/>
      <c r="AG2" s="59"/>
      <c r="AH2" s="59"/>
      <c r="AI2" s="59"/>
      <c r="AK2" s="59"/>
      <c r="AL2" s="59"/>
      <c r="AM2" s="59"/>
      <c r="AN2" s="59"/>
      <c r="AO2" s="59"/>
    </row>
    <row r="3" spans="1:41" s="61" customFormat="1" ht="19.2" customHeight="1">
      <c r="A3" s="62"/>
      <c r="B3" s="230"/>
      <c r="C3" s="230"/>
      <c r="D3" s="226"/>
      <c r="E3" s="31" t="s">
        <v>71</v>
      </c>
      <c r="G3" s="59"/>
      <c r="H3" s="59"/>
      <c r="I3" s="59"/>
      <c r="J3" s="59"/>
      <c r="K3" s="59"/>
      <c r="M3" s="59"/>
      <c r="N3" s="59"/>
      <c r="O3" s="59"/>
      <c r="P3" s="59"/>
      <c r="Q3" s="59"/>
      <c r="S3" s="59"/>
      <c r="T3" s="59"/>
      <c r="U3" s="59"/>
      <c r="V3" s="59"/>
      <c r="W3" s="59"/>
      <c r="Y3" s="59"/>
      <c r="Z3" s="59"/>
      <c r="AA3" s="59"/>
      <c r="AB3" s="59"/>
      <c r="AC3" s="59"/>
      <c r="AE3" s="59"/>
      <c r="AF3" s="59"/>
      <c r="AG3" s="59"/>
      <c r="AH3" s="59"/>
      <c r="AI3" s="59"/>
      <c r="AK3" s="59"/>
      <c r="AL3" s="59"/>
      <c r="AM3" s="59"/>
      <c r="AN3" s="59"/>
      <c r="AO3" s="59"/>
    </row>
    <row r="4" spans="1:41" s="61" customFormat="1" ht="16.5" customHeight="1">
      <c r="A4" s="250"/>
      <c r="B4" s="229"/>
      <c r="C4" s="229"/>
      <c r="D4" s="229"/>
      <c r="E4" s="229"/>
      <c r="G4" s="59"/>
      <c r="H4" s="59"/>
      <c r="I4" s="59"/>
      <c r="J4" s="59"/>
      <c r="K4" s="59"/>
      <c r="M4" s="59"/>
      <c r="N4" s="59"/>
      <c r="O4" s="59"/>
      <c r="P4" s="59"/>
      <c r="Q4" s="59"/>
      <c r="S4" s="59"/>
      <c r="T4" s="59"/>
      <c r="U4" s="59"/>
      <c r="V4" s="59"/>
      <c r="W4" s="59"/>
      <c r="Y4" s="59"/>
      <c r="Z4" s="59"/>
      <c r="AA4" s="59"/>
      <c r="AB4" s="59"/>
      <c r="AC4" s="59"/>
      <c r="AE4" s="59"/>
      <c r="AF4" s="59"/>
      <c r="AG4" s="59"/>
      <c r="AH4" s="59"/>
      <c r="AI4" s="59"/>
      <c r="AK4" s="59"/>
      <c r="AL4" s="59"/>
      <c r="AM4" s="59"/>
      <c r="AN4" s="59"/>
      <c r="AO4" s="59"/>
    </row>
    <row r="5" spans="1:41" s="61" customFormat="1" ht="42" customHeight="1">
      <c r="A5" s="63" t="s">
        <v>66</v>
      </c>
      <c r="B5" s="37" t="s">
        <v>116</v>
      </c>
      <c r="C5" s="64" t="s">
        <v>27</v>
      </c>
      <c r="D5" s="251" t="s">
        <v>131</v>
      </c>
      <c r="E5" s="252"/>
      <c r="G5" s="59"/>
      <c r="H5" s="59"/>
      <c r="I5" s="59"/>
      <c r="J5" s="59"/>
      <c r="K5" s="59"/>
      <c r="M5" s="59"/>
      <c r="N5" s="59"/>
      <c r="O5" s="59"/>
      <c r="P5" s="59"/>
      <c r="Q5" s="59"/>
      <c r="S5" s="59"/>
      <c r="T5" s="59"/>
      <c r="U5" s="59"/>
      <c r="V5" s="59"/>
      <c r="W5" s="59"/>
      <c r="Y5" s="59"/>
      <c r="Z5" s="59"/>
      <c r="AA5" s="59"/>
      <c r="AB5" s="59"/>
      <c r="AC5" s="59"/>
      <c r="AE5" s="59"/>
      <c r="AF5" s="59"/>
      <c r="AG5" s="59"/>
      <c r="AH5" s="59"/>
      <c r="AI5" s="59"/>
      <c r="AK5" s="59"/>
      <c r="AL5" s="59"/>
      <c r="AM5" s="59"/>
      <c r="AN5" s="59"/>
      <c r="AO5" s="59"/>
    </row>
    <row r="6" spans="1:41" s="61" customFormat="1" ht="14.4">
      <c r="A6" s="66" t="s">
        <v>29</v>
      </c>
      <c r="B6" s="67" t="s">
        <v>55</v>
      </c>
      <c r="C6" s="65" t="s">
        <v>26</v>
      </c>
      <c r="D6" s="253">
        <v>45877</v>
      </c>
      <c r="E6" s="254"/>
      <c r="G6" s="59"/>
      <c r="H6" s="59"/>
      <c r="I6" s="59"/>
      <c r="J6" s="59"/>
      <c r="K6" s="59"/>
      <c r="M6" s="59"/>
      <c r="N6" s="59"/>
      <c r="O6" s="59"/>
      <c r="P6" s="59"/>
      <c r="Q6" s="59"/>
      <c r="S6" s="59"/>
      <c r="T6" s="59"/>
      <c r="U6" s="59"/>
      <c r="V6" s="59"/>
      <c r="W6" s="59"/>
      <c r="Y6" s="59"/>
      <c r="Z6" s="59"/>
      <c r="AA6" s="59"/>
      <c r="AB6" s="59"/>
      <c r="AC6" s="59"/>
      <c r="AE6" s="59"/>
      <c r="AF6" s="59"/>
      <c r="AG6" s="59"/>
      <c r="AH6" s="59"/>
      <c r="AI6" s="59"/>
      <c r="AK6" s="59"/>
      <c r="AL6" s="59"/>
      <c r="AM6" s="59"/>
      <c r="AN6" s="59"/>
      <c r="AO6" s="59"/>
    </row>
    <row r="7" spans="1:41" s="61" customFormat="1" ht="14.4" customHeight="1">
      <c r="A7" s="68"/>
      <c r="B7" s="68"/>
      <c r="C7" s="68"/>
      <c r="D7" s="68"/>
      <c r="E7" s="68"/>
      <c r="G7" s="59"/>
      <c r="H7" s="59"/>
      <c r="I7" s="59"/>
      <c r="J7" s="59"/>
      <c r="K7" s="59"/>
      <c r="M7" s="59"/>
      <c r="N7" s="59"/>
      <c r="O7" s="59"/>
      <c r="P7" s="59"/>
      <c r="Q7" s="59"/>
      <c r="S7" s="59"/>
      <c r="T7" s="59"/>
      <c r="U7" s="59"/>
      <c r="V7" s="59"/>
      <c r="W7" s="59"/>
      <c r="Y7" s="59"/>
      <c r="Z7" s="59"/>
      <c r="AA7" s="59"/>
      <c r="AB7" s="59"/>
      <c r="AC7" s="59"/>
      <c r="AE7" s="59"/>
      <c r="AF7" s="59"/>
      <c r="AG7" s="59"/>
      <c r="AH7" s="59"/>
      <c r="AI7" s="59"/>
      <c r="AK7" s="59"/>
      <c r="AL7" s="59"/>
      <c r="AM7" s="59"/>
      <c r="AN7" s="59"/>
      <c r="AO7" s="59"/>
    </row>
    <row r="8" spans="1:41" ht="18">
      <c r="A8" s="255" t="s">
        <v>38</v>
      </c>
      <c r="B8" s="255"/>
      <c r="C8" s="255"/>
      <c r="D8" s="255"/>
      <c r="E8" s="255"/>
    </row>
    <row r="9" spans="1:41" ht="18">
      <c r="A9" s="69" t="s">
        <v>39</v>
      </c>
      <c r="B9" s="70" t="s">
        <v>82</v>
      </c>
      <c r="C9" s="69" t="s">
        <v>134</v>
      </c>
      <c r="D9" s="256"/>
      <c r="E9" s="257"/>
    </row>
    <row r="10" spans="1:41" ht="41.4">
      <c r="A10" s="72" t="s">
        <v>40</v>
      </c>
      <c r="B10" s="73" t="s">
        <v>117</v>
      </c>
      <c r="C10" s="74"/>
      <c r="D10" s="74"/>
      <c r="E10" s="74"/>
    </row>
    <row r="11" spans="1:41">
      <c r="A11" s="75" t="s">
        <v>41</v>
      </c>
      <c r="B11" s="76">
        <v>1560</v>
      </c>
      <c r="C11" s="74"/>
      <c r="D11" s="74"/>
      <c r="E11" s="74"/>
    </row>
    <row r="12" spans="1:41">
      <c r="A12" s="75" t="s">
        <v>42</v>
      </c>
      <c r="B12" s="77">
        <f>E55</f>
        <v>0</v>
      </c>
      <c r="C12" s="74"/>
      <c r="D12" s="74"/>
      <c r="E12" s="74"/>
    </row>
    <row r="13" spans="1:41" ht="14.4" thickBot="1">
      <c r="A13" s="74"/>
      <c r="B13" s="74"/>
      <c r="C13" s="74"/>
      <c r="D13" s="74"/>
      <c r="E13" s="74"/>
    </row>
    <row r="14" spans="1:41" ht="14.4" thickBot="1">
      <c r="A14" s="245" t="s">
        <v>55</v>
      </c>
      <c r="B14" s="246"/>
      <c r="C14" s="246"/>
      <c r="D14" s="246"/>
      <c r="E14" s="247"/>
    </row>
    <row r="15" spans="1:41">
      <c r="A15" s="74"/>
      <c r="B15" s="74"/>
      <c r="C15" s="74"/>
      <c r="D15" s="74"/>
      <c r="E15" s="74"/>
    </row>
    <row r="16" spans="1:41">
      <c r="A16" s="74"/>
      <c r="B16" s="74"/>
      <c r="C16" s="74"/>
      <c r="D16" s="74"/>
      <c r="E16" s="74"/>
    </row>
    <row r="17" spans="1:5">
      <c r="A17" s="74"/>
      <c r="B17" s="74"/>
      <c r="C17" s="74"/>
      <c r="D17" s="74"/>
      <c r="E17" s="74"/>
    </row>
    <row r="18" spans="1:5" ht="14.4">
      <c r="A18" s="74"/>
      <c r="B18" s="58"/>
      <c r="C18" s="74"/>
      <c r="D18" s="74"/>
      <c r="E18" s="74"/>
    </row>
    <row r="19" spans="1:5">
      <c r="A19" s="74"/>
      <c r="B19" s="74"/>
      <c r="C19" s="74"/>
      <c r="D19" s="74"/>
      <c r="E19" s="74"/>
    </row>
    <row r="20" spans="1:5">
      <c r="A20" s="74"/>
      <c r="B20" s="74"/>
      <c r="C20" s="74"/>
      <c r="D20" s="74"/>
      <c r="E20" s="74"/>
    </row>
    <row r="21" spans="1:5">
      <c r="A21" s="74"/>
      <c r="B21" s="74"/>
      <c r="C21" s="74"/>
      <c r="D21" s="74"/>
      <c r="E21" s="74"/>
    </row>
    <row r="22" spans="1:5">
      <c r="A22" s="74"/>
      <c r="B22" s="74"/>
      <c r="C22" s="74"/>
      <c r="D22" s="74"/>
      <c r="E22" s="74"/>
    </row>
    <row r="23" spans="1:5">
      <c r="A23" s="74"/>
      <c r="B23" s="74"/>
      <c r="C23" s="74"/>
      <c r="D23" s="74"/>
      <c r="E23" s="74"/>
    </row>
    <row r="24" spans="1:5">
      <c r="A24" s="74"/>
      <c r="B24" s="74"/>
      <c r="C24" s="74"/>
      <c r="D24" s="74"/>
      <c r="E24" s="74"/>
    </row>
    <row r="25" spans="1:5">
      <c r="A25" s="74"/>
      <c r="B25" s="74"/>
      <c r="C25" s="74"/>
      <c r="D25" s="74"/>
      <c r="E25" s="74"/>
    </row>
    <row r="26" spans="1:5">
      <c r="A26" s="74"/>
      <c r="B26" s="74"/>
      <c r="C26" s="74"/>
      <c r="D26" s="74"/>
      <c r="E26" s="74"/>
    </row>
    <row r="27" spans="1:5">
      <c r="A27" s="74"/>
      <c r="B27" s="74"/>
      <c r="C27" s="74"/>
      <c r="D27" s="74"/>
      <c r="E27" s="74"/>
    </row>
    <row r="28" spans="1:5">
      <c r="A28" s="74"/>
      <c r="B28" s="74"/>
      <c r="C28" s="74"/>
      <c r="D28" s="74"/>
      <c r="E28" s="74"/>
    </row>
    <row r="29" spans="1:5">
      <c r="A29" s="74"/>
      <c r="B29" s="74"/>
      <c r="C29" s="74"/>
      <c r="D29" s="74"/>
      <c r="E29" s="74"/>
    </row>
    <row r="30" spans="1:5">
      <c r="A30" s="74"/>
      <c r="B30" s="74"/>
      <c r="C30" s="74"/>
      <c r="D30" s="74"/>
      <c r="E30" s="74"/>
    </row>
    <row r="31" spans="1:5">
      <c r="A31" s="74"/>
      <c r="B31" s="74"/>
      <c r="C31" s="74"/>
      <c r="D31" s="74"/>
      <c r="E31" s="74"/>
    </row>
    <row r="32" spans="1:5">
      <c r="A32" s="74"/>
      <c r="B32" s="74"/>
      <c r="C32" s="74"/>
      <c r="D32" s="74"/>
      <c r="E32" s="74"/>
    </row>
    <row r="33" spans="1:40">
      <c r="A33" s="74"/>
      <c r="B33" s="74"/>
      <c r="C33" s="74"/>
      <c r="D33" s="74"/>
      <c r="E33" s="74"/>
    </row>
    <row r="34" spans="1:40">
      <c r="A34" s="74"/>
      <c r="B34" s="74"/>
      <c r="C34" s="74"/>
      <c r="D34" s="74"/>
      <c r="E34" s="74"/>
    </row>
    <row r="35" spans="1:40">
      <c r="A35" s="74"/>
      <c r="B35" s="74"/>
      <c r="C35" s="74"/>
      <c r="D35" s="74"/>
      <c r="E35" s="78"/>
    </row>
    <row r="36" spans="1:40">
      <c r="A36" s="243" t="s">
        <v>43</v>
      </c>
      <c r="B36" s="243"/>
      <c r="C36" s="79"/>
      <c r="D36" s="74"/>
      <c r="E36" s="74"/>
    </row>
    <row r="37" spans="1:40">
      <c r="A37" s="243" t="s">
        <v>44</v>
      </c>
      <c r="B37" s="243"/>
      <c r="C37" s="80"/>
      <c r="D37" s="74"/>
      <c r="E37" s="74"/>
    </row>
    <row r="38" spans="1:40" ht="14.4" thickBot="1">
      <c r="A38" s="74"/>
      <c r="B38" s="74"/>
      <c r="C38" s="74"/>
      <c r="D38" s="74"/>
      <c r="E38" s="74"/>
    </row>
    <row r="39" spans="1:40" ht="28.2" thickBot="1">
      <c r="A39" s="81" t="s">
        <v>45</v>
      </c>
      <c r="B39" s="82" t="s">
        <v>46</v>
      </c>
      <c r="C39" s="82" t="s">
        <v>47</v>
      </c>
      <c r="D39" s="83" t="s">
        <v>48</v>
      </c>
      <c r="E39" s="84" t="s">
        <v>49</v>
      </c>
    </row>
    <row r="40" spans="1:40">
      <c r="A40" s="85" t="s">
        <v>50</v>
      </c>
      <c r="B40" s="86" t="s">
        <v>51</v>
      </c>
      <c r="C40" s="87"/>
      <c r="D40" s="88">
        <f>(1/100)*C37</f>
        <v>0</v>
      </c>
      <c r="E40" s="89">
        <f>C40*D40</f>
        <v>0</v>
      </c>
    </row>
    <row r="41" spans="1:40">
      <c r="A41" s="90" t="s">
        <v>67</v>
      </c>
      <c r="B41" s="91" t="s">
        <v>46</v>
      </c>
      <c r="C41" s="92"/>
      <c r="D41" s="93">
        <f>(20/100)*C37</f>
        <v>0</v>
      </c>
      <c r="E41" s="94">
        <f>D41*C41</f>
        <v>0</v>
      </c>
    </row>
    <row r="42" spans="1:40">
      <c r="A42" s="90" t="s">
        <v>68</v>
      </c>
      <c r="B42" s="91" t="s">
        <v>46</v>
      </c>
      <c r="C42" s="92"/>
      <c r="D42" s="93">
        <f>(10/100)*C37</f>
        <v>0</v>
      </c>
      <c r="E42" s="94">
        <f>D42*C42</f>
        <v>0</v>
      </c>
    </row>
    <row r="43" spans="1:40">
      <c r="A43" s="90"/>
      <c r="B43" s="91" t="s">
        <v>46</v>
      </c>
      <c r="C43" s="92"/>
      <c r="D43" s="93"/>
      <c r="E43" s="94">
        <f t="shared" ref="E43:E44" si="0">+D43*C43</f>
        <v>0</v>
      </c>
    </row>
    <row r="44" spans="1:40">
      <c r="A44" s="90"/>
      <c r="B44" s="91" t="s">
        <v>46</v>
      </c>
      <c r="C44" s="92"/>
      <c r="D44" s="93"/>
      <c r="E44" s="94">
        <f t="shared" si="0"/>
        <v>0</v>
      </c>
    </row>
    <row r="45" spans="1:40">
      <c r="A45" s="90"/>
      <c r="B45" s="91" t="s">
        <v>46</v>
      </c>
      <c r="C45" s="95"/>
      <c r="D45" s="184"/>
      <c r="E45" s="96">
        <f>D45*C45</f>
        <v>0</v>
      </c>
    </row>
    <row r="46" spans="1:40">
      <c r="A46" s="180"/>
      <c r="B46" s="91" t="s">
        <v>46</v>
      </c>
      <c r="C46" s="92"/>
      <c r="D46" s="93"/>
      <c r="E46" s="96">
        <f>D46*C46</f>
        <v>0</v>
      </c>
    </row>
    <row r="47" spans="1:40">
      <c r="A47" s="180"/>
      <c r="B47" s="91" t="s">
        <v>46</v>
      </c>
      <c r="C47" s="92"/>
      <c r="D47" s="91"/>
      <c r="E47" s="96">
        <f>D47*C47</f>
        <v>0</v>
      </c>
    </row>
    <row r="48" spans="1:40">
      <c r="A48" s="180"/>
      <c r="B48" s="91" t="s">
        <v>46</v>
      </c>
      <c r="C48" s="92"/>
      <c r="D48" s="91"/>
      <c r="E48" s="96">
        <f t="shared" ref="E47:E52" si="1">D48*C48</f>
        <v>0</v>
      </c>
    </row>
    <row r="49" spans="1:5">
      <c r="A49" s="180"/>
      <c r="B49" s="91" t="s">
        <v>46</v>
      </c>
      <c r="C49" s="92"/>
      <c r="D49" s="91"/>
      <c r="E49" s="96">
        <f>D49*C49</f>
        <v>0</v>
      </c>
    </row>
    <row r="50" spans="1:5">
      <c r="A50" s="180"/>
      <c r="B50" s="91" t="s">
        <v>46</v>
      </c>
      <c r="C50" s="92"/>
      <c r="D50" s="91"/>
      <c r="E50" s="96">
        <f t="shared" si="1"/>
        <v>0</v>
      </c>
    </row>
    <row r="51" spans="1:5">
      <c r="A51" s="180"/>
      <c r="B51" s="91" t="s">
        <v>46</v>
      </c>
      <c r="C51" s="92"/>
      <c r="D51" s="91"/>
      <c r="E51" s="96">
        <f t="shared" si="1"/>
        <v>0</v>
      </c>
    </row>
    <row r="52" spans="1:5" ht="14.4" thickBot="1">
      <c r="A52" s="180"/>
      <c r="B52" s="91" t="s">
        <v>46</v>
      </c>
      <c r="C52" s="182"/>
      <c r="D52" s="181"/>
      <c r="E52" s="96">
        <f t="shared" si="1"/>
        <v>0</v>
      </c>
    </row>
    <row r="53" spans="1:5">
      <c r="A53" s="100" t="s">
        <v>52</v>
      </c>
      <c r="B53" s="101"/>
      <c r="C53" s="102"/>
      <c r="D53" s="103"/>
      <c r="E53" s="104">
        <f>SUM(E40:E46)</f>
        <v>0</v>
      </c>
    </row>
    <row r="54" spans="1:5" ht="14.4" thickBot="1">
      <c r="A54" s="90" t="s">
        <v>53</v>
      </c>
      <c r="B54" s="105">
        <v>0.2</v>
      </c>
      <c r="C54" s="106"/>
      <c r="D54" s="107"/>
      <c r="E54" s="96">
        <f>E53*B54</f>
        <v>0</v>
      </c>
    </row>
    <row r="55" spans="1:5" ht="14.4" thickBot="1">
      <c r="A55" s="108" t="s">
        <v>54</v>
      </c>
      <c r="B55" s="109"/>
      <c r="C55" s="109"/>
      <c r="D55" s="110"/>
      <c r="E55" s="111">
        <f>E53+E54</f>
        <v>0</v>
      </c>
    </row>
    <row r="56" spans="1:5" ht="36" customHeight="1">
      <c r="A56" s="244" t="s">
        <v>133</v>
      </c>
      <c r="B56" s="244"/>
      <c r="C56" s="244"/>
      <c r="D56" s="244"/>
      <c r="E56" s="244"/>
    </row>
  </sheetData>
  <mergeCells count="10">
    <mergeCell ref="A36:B36"/>
    <mergeCell ref="A37:B37"/>
    <mergeCell ref="A56:E56"/>
    <mergeCell ref="A14:E14"/>
    <mergeCell ref="B1:D3"/>
    <mergeCell ref="A4:E4"/>
    <mergeCell ref="D5:E5"/>
    <mergeCell ref="D6:E6"/>
    <mergeCell ref="A8:E8"/>
    <mergeCell ref="D9:E9"/>
  </mergeCells>
  <pageMargins left="0.7" right="0.7" top="0.75" bottom="0.75" header="0.3" footer="0.3"/>
  <pageSetup scale="6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6D45-3065-4656-8781-E7B896DEB266}">
  <sheetPr>
    <tabColor theme="6" tint="0.79998168889431442"/>
    <pageSetUpPr fitToPage="1"/>
  </sheetPr>
  <dimension ref="A1:AO55"/>
  <sheetViews>
    <sheetView topLeftCell="A22" zoomScale="85" zoomScaleNormal="85" zoomScaleSheetLayoutView="85" workbookViewId="0">
      <selection activeCell="C37" sqref="C37"/>
    </sheetView>
  </sheetViews>
  <sheetFormatPr defaultColWidth="11.44140625" defaultRowHeight="13.8"/>
  <cols>
    <col min="1" max="1" width="30" style="59" customWidth="1"/>
    <col min="2" max="2" width="45.44140625" style="59" bestFit="1" customWidth="1"/>
    <col min="3" max="3" width="13.44140625" style="59" customWidth="1"/>
    <col min="4" max="4" width="26" style="59" bestFit="1" customWidth="1"/>
    <col min="5" max="5" width="26.109375" style="59" customWidth="1"/>
    <col min="6" max="6" width="11.44140625" style="59"/>
    <col min="7" max="7" width="30" style="59" customWidth="1"/>
    <col min="8" max="8" width="45.44140625" style="59" bestFit="1" customWidth="1"/>
    <col min="9" max="9" width="13.44140625" style="59" customWidth="1"/>
    <col min="10" max="10" width="26" style="59" bestFit="1" customWidth="1"/>
    <col min="11" max="11" width="26.109375" style="59" customWidth="1"/>
    <col min="12" max="12" width="11.44140625" style="59"/>
    <col min="13" max="13" width="30" style="59" customWidth="1"/>
    <col min="14" max="14" width="45.44140625" style="59" bestFit="1" customWidth="1"/>
    <col min="15" max="15" width="13.44140625" style="59" customWidth="1"/>
    <col min="16" max="16" width="26" style="59" bestFit="1" customWidth="1"/>
    <col min="17" max="17" width="26.109375" style="59" customWidth="1"/>
    <col min="18" max="18" width="11.44140625" style="59"/>
    <col min="19" max="19" width="30" style="59" customWidth="1"/>
    <col min="20" max="20" width="45.44140625" style="59" bestFit="1" customWidth="1"/>
    <col min="21" max="21" width="13.44140625" style="59" customWidth="1"/>
    <col min="22" max="22" width="26" style="59" bestFit="1" customWidth="1"/>
    <col min="23" max="23" width="26.109375" style="59" customWidth="1"/>
    <col min="24" max="24" width="11.44140625" style="59"/>
    <col min="25" max="25" width="30" style="59" customWidth="1"/>
    <col min="26" max="26" width="45.44140625" style="59" bestFit="1" customWidth="1"/>
    <col min="27" max="27" width="13.44140625" style="59" customWidth="1"/>
    <col min="28" max="28" width="26" style="59" bestFit="1" customWidth="1"/>
    <col min="29" max="29" width="26.109375" style="59" customWidth="1"/>
    <col min="30" max="30" width="11.44140625" style="59"/>
    <col min="31" max="31" width="30" style="59" customWidth="1"/>
    <col min="32" max="32" width="45.44140625" style="59" bestFit="1" customWidth="1"/>
    <col min="33" max="33" width="13.44140625" style="59" customWidth="1"/>
    <col min="34" max="34" width="26" style="59" bestFit="1" customWidth="1"/>
    <col min="35" max="35" width="26.109375" style="59" customWidth="1"/>
    <col min="36" max="36" width="11.44140625" style="59"/>
    <col min="37" max="37" width="30" style="59" customWidth="1"/>
    <col min="38" max="38" width="45.44140625" style="59" bestFit="1" customWidth="1"/>
    <col min="39" max="39" width="13.44140625" style="59" customWidth="1"/>
    <col min="40" max="40" width="26" style="59" bestFit="1" customWidth="1"/>
    <col min="41" max="41" width="26.109375" style="59" customWidth="1"/>
    <col min="42" max="16384" width="11.44140625" style="59"/>
  </cols>
  <sheetData>
    <row r="1" spans="1:41" ht="25.8" customHeight="1">
      <c r="A1" s="30"/>
      <c r="B1" s="248" t="s">
        <v>25</v>
      </c>
      <c r="C1" s="228"/>
      <c r="D1" s="222"/>
      <c r="E1" s="31" t="s">
        <v>28</v>
      </c>
    </row>
    <row r="2" spans="1:41" s="61" customFormat="1" ht="24" customHeight="1">
      <c r="A2" s="60"/>
      <c r="B2" s="249"/>
      <c r="C2" s="229"/>
      <c r="D2" s="224"/>
      <c r="E2" s="31" t="s">
        <v>70</v>
      </c>
      <c r="G2" s="59"/>
      <c r="H2" s="59"/>
      <c r="I2" s="59"/>
      <c r="J2" s="59"/>
      <c r="K2" s="59"/>
      <c r="M2" s="59"/>
      <c r="N2" s="59"/>
      <c r="O2" s="59"/>
      <c r="P2" s="59"/>
      <c r="Q2" s="59"/>
      <c r="S2" s="59"/>
      <c r="T2" s="59"/>
      <c r="U2" s="59"/>
      <c r="V2" s="59"/>
      <c r="W2" s="59"/>
      <c r="Y2" s="59"/>
      <c r="Z2" s="59"/>
      <c r="AA2" s="59"/>
      <c r="AB2" s="59"/>
      <c r="AC2" s="59"/>
      <c r="AE2" s="59"/>
      <c r="AF2" s="59"/>
      <c r="AG2" s="59"/>
      <c r="AH2" s="59"/>
      <c r="AI2" s="59"/>
      <c r="AK2" s="59"/>
      <c r="AL2" s="59"/>
      <c r="AM2" s="59"/>
      <c r="AN2" s="59"/>
      <c r="AO2" s="59"/>
    </row>
    <row r="3" spans="1:41" s="61" customFormat="1" ht="19.2" customHeight="1">
      <c r="A3" s="62"/>
      <c r="B3" s="230"/>
      <c r="C3" s="230"/>
      <c r="D3" s="226"/>
      <c r="E3" s="31" t="s">
        <v>71</v>
      </c>
      <c r="G3" s="59"/>
      <c r="H3" s="59"/>
      <c r="I3" s="59"/>
      <c r="J3" s="59"/>
      <c r="K3" s="59"/>
      <c r="M3" s="59"/>
      <c r="N3" s="59"/>
      <c r="O3" s="59"/>
      <c r="P3" s="59"/>
      <c r="Q3" s="59"/>
      <c r="S3" s="59"/>
      <c r="T3" s="59"/>
      <c r="U3" s="59"/>
      <c r="V3" s="59"/>
      <c r="W3" s="59"/>
      <c r="Y3" s="59"/>
      <c r="Z3" s="59"/>
      <c r="AA3" s="59"/>
      <c r="AB3" s="59"/>
      <c r="AC3" s="59"/>
      <c r="AE3" s="59"/>
      <c r="AF3" s="59"/>
      <c r="AG3" s="59"/>
      <c r="AH3" s="59"/>
      <c r="AI3" s="59"/>
      <c r="AK3" s="59"/>
      <c r="AL3" s="59"/>
      <c r="AM3" s="59"/>
      <c r="AN3" s="59"/>
      <c r="AO3" s="59"/>
    </row>
    <row r="4" spans="1:41" s="61" customFormat="1" ht="16.5" customHeight="1">
      <c r="A4" s="250"/>
      <c r="B4" s="229"/>
      <c r="C4" s="229"/>
      <c r="D4" s="229"/>
      <c r="E4" s="229"/>
      <c r="G4" s="59"/>
      <c r="H4" s="59"/>
      <c r="I4" s="59"/>
      <c r="J4" s="59"/>
      <c r="K4" s="59"/>
      <c r="M4" s="59"/>
      <c r="N4" s="59"/>
      <c r="O4" s="59"/>
      <c r="P4" s="59"/>
      <c r="Q4" s="59"/>
      <c r="S4" s="59"/>
      <c r="T4" s="59"/>
      <c r="U4" s="59"/>
      <c r="V4" s="59"/>
      <c r="W4" s="59"/>
      <c r="Y4" s="59"/>
      <c r="Z4" s="59"/>
      <c r="AA4" s="59"/>
      <c r="AB4" s="59"/>
      <c r="AC4" s="59"/>
      <c r="AE4" s="59"/>
      <c r="AF4" s="59"/>
      <c r="AG4" s="59"/>
      <c r="AH4" s="59"/>
      <c r="AI4" s="59"/>
      <c r="AK4" s="59"/>
      <c r="AL4" s="59"/>
      <c r="AM4" s="59"/>
      <c r="AN4" s="59"/>
      <c r="AO4" s="59"/>
    </row>
    <row r="5" spans="1:41" s="61" customFormat="1" ht="42" customHeight="1">
      <c r="A5" s="63" t="s">
        <v>66</v>
      </c>
      <c r="B5" s="37" t="s">
        <v>116</v>
      </c>
      <c r="C5" s="64" t="s">
        <v>27</v>
      </c>
      <c r="D5" s="251" t="s">
        <v>131</v>
      </c>
      <c r="E5" s="252"/>
      <c r="G5" s="59"/>
      <c r="H5" s="59"/>
      <c r="I5" s="59"/>
      <c r="J5" s="59"/>
      <c r="K5" s="59"/>
      <c r="M5" s="59"/>
      <c r="N5" s="59"/>
      <c r="O5" s="59"/>
      <c r="P5" s="59"/>
      <c r="Q5" s="59"/>
      <c r="S5" s="59"/>
      <c r="T5" s="59"/>
      <c r="U5" s="59"/>
      <c r="V5" s="59"/>
      <c r="W5" s="59"/>
      <c r="Y5" s="59"/>
      <c r="Z5" s="59"/>
      <c r="AA5" s="59"/>
      <c r="AB5" s="59"/>
      <c r="AC5" s="59"/>
      <c r="AE5" s="59"/>
      <c r="AF5" s="59"/>
      <c r="AG5" s="59"/>
      <c r="AH5" s="59"/>
      <c r="AI5" s="59"/>
      <c r="AK5" s="59"/>
      <c r="AL5" s="59"/>
      <c r="AM5" s="59"/>
      <c r="AN5" s="59"/>
      <c r="AO5" s="59"/>
    </row>
    <row r="6" spans="1:41" s="61" customFormat="1" ht="14.4">
      <c r="A6" s="66" t="s">
        <v>29</v>
      </c>
      <c r="B6" s="67" t="s">
        <v>55</v>
      </c>
      <c r="C6" s="65" t="s">
        <v>26</v>
      </c>
      <c r="D6" s="253">
        <v>45877</v>
      </c>
      <c r="E6" s="254"/>
      <c r="G6" s="59"/>
      <c r="H6" s="59"/>
      <c r="I6" s="59"/>
      <c r="J6" s="59"/>
      <c r="K6" s="59"/>
      <c r="M6" s="59"/>
      <c r="N6" s="59"/>
      <c r="O6" s="59"/>
      <c r="P6" s="59"/>
      <c r="Q6" s="59"/>
      <c r="S6" s="59"/>
      <c r="T6" s="59"/>
      <c r="U6" s="59"/>
      <c r="V6" s="59"/>
      <c r="W6" s="59"/>
      <c r="Y6" s="59"/>
      <c r="Z6" s="59"/>
      <c r="AA6" s="59"/>
      <c r="AB6" s="59"/>
      <c r="AC6" s="59"/>
      <c r="AE6" s="59"/>
      <c r="AF6" s="59"/>
      <c r="AG6" s="59"/>
      <c r="AH6" s="59"/>
      <c r="AI6" s="59"/>
      <c r="AK6" s="59"/>
      <c r="AL6" s="59"/>
      <c r="AM6" s="59"/>
      <c r="AN6" s="59"/>
      <c r="AO6" s="59"/>
    </row>
    <row r="7" spans="1:41" s="61" customFormat="1" ht="14.4" customHeight="1">
      <c r="A7" s="68"/>
      <c r="B7" s="68"/>
      <c r="C7" s="68"/>
      <c r="D7" s="68"/>
      <c r="E7" s="68"/>
      <c r="G7" s="59"/>
      <c r="H7" s="59"/>
      <c r="I7" s="59"/>
      <c r="J7" s="59"/>
      <c r="K7" s="59"/>
      <c r="M7" s="59"/>
      <c r="N7" s="59"/>
      <c r="O7" s="59"/>
      <c r="P7" s="59"/>
      <c r="Q7" s="59"/>
      <c r="S7" s="59"/>
      <c r="T7" s="59"/>
      <c r="U7" s="59"/>
      <c r="V7" s="59"/>
      <c r="W7" s="59"/>
      <c r="Y7" s="59"/>
      <c r="Z7" s="59"/>
      <c r="AA7" s="59"/>
      <c r="AB7" s="59"/>
      <c r="AC7" s="59"/>
      <c r="AE7" s="59"/>
      <c r="AF7" s="59"/>
      <c r="AG7" s="59"/>
      <c r="AH7" s="59"/>
      <c r="AI7" s="59"/>
      <c r="AK7" s="59"/>
      <c r="AL7" s="59"/>
      <c r="AM7" s="59"/>
      <c r="AN7" s="59"/>
      <c r="AO7" s="59"/>
    </row>
    <row r="8" spans="1:41" ht="18">
      <c r="A8" s="255" t="s">
        <v>38</v>
      </c>
      <c r="B8" s="255"/>
      <c r="C8" s="255"/>
      <c r="D8" s="255"/>
      <c r="E8" s="255"/>
    </row>
    <row r="9" spans="1:41" ht="18">
      <c r="A9" s="69" t="s">
        <v>39</v>
      </c>
      <c r="B9" s="70" t="s">
        <v>80</v>
      </c>
      <c r="C9" s="69" t="s">
        <v>134</v>
      </c>
      <c r="D9" s="256"/>
      <c r="E9" s="257"/>
    </row>
    <row r="10" spans="1:41">
      <c r="A10" s="72" t="s">
        <v>40</v>
      </c>
      <c r="B10" s="112" t="s">
        <v>128</v>
      </c>
      <c r="C10" s="74"/>
      <c r="D10" s="74"/>
      <c r="E10" s="74"/>
    </row>
    <row r="11" spans="1:41">
      <c r="A11" s="75" t="s">
        <v>41</v>
      </c>
      <c r="B11" s="76">
        <v>250</v>
      </c>
      <c r="C11" s="74"/>
      <c r="D11" s="74"/>
      <c r="E11" s="74"/>
    </row>
    <row r="12" spans="1:41">
      <c r="A12" s="75" t="s">
        <v>42</v>
      </c>
      <c r="B12" s="77">
        <f>E54</f>
        <v>0</v>
      </c>
      <c r="C12" s="74"/>
      <c r="D12" s="74"/>
      <c r="E12" s="74"/>
    </row>
    <row r="13" spans="1:41" ht="14.4" thickBot="1">
      <c r="A13" s="74"/>
      <c r="B13" s="74"/>
      <c r="C13" s="74"/>
      <c r="D13" s="74"/>
      <c r="E13" s="74"/>
    </row>
    <row r="14" spans="1:41" ht="14.4" thickBot="1">
      <c r="A14" s="245" t="s">
        <v>55</v>
      </c>
      <c r="B14" s="246"/>
      <c r="C14" s="246"/>
      <c r="D14" s="246"/>
      <c r="E14" s="247"/>
    </row>
    <row r="15" spans="1:41">
      <c r="A15" s="74"/>
      <c r="B15" s="74"/>
      <c r="C15" s="74"/>
      <c r="D15" s="74"/>
      <c r="E15" s="74"/>
    </row>
    <row r="16" spans="1:41">
      <c r="A16" s="74"/>
      <c r="B16" s="74"/>
      <c r="C16" s="74"/>
      <c r="D16" s="74"/>
      <c r="E16" s="74"/>
    </row>
    <row r="17" spans="1:5">
      <c r="A17" s="74"/>
      <c r="B17" s="74"/>
      <c r="C17" s="74"/>
      <c r="D17" s="74"/>
      <c r="E17" s="74"/>
    </row>
    <row r="18" spans="1:5" ht="14.4">
      <c r="A18" s="74"/>
      <c r="B18" s="58"/>
      <c r="C18" s="74"/>
      <c r="D18" s="74"/>
      <c r="E18" s="74"/>
    </row>
    <row r="19" spans="1:5">
      <c r="A19" s="74"/>
      <c r="B19" s="74"/>
      <c r="C19" s="74"/>
      <c r="D19" s="74"/>
      <c r="E19" s="74"/>
    </row>
    <row r="20" spans="1:5">
      <c r="A20" s="74"/>
      <c r="B20" s="74"/>
      <c r="C20" s="74"/>
      <c r="D20" s="74"/>
      <c r="E20" s="74"/>
    </row>
    <row r="21" spans="1:5">
      <c r="A21" s="74"/>
      <c r="B21" s="74"/>
      <c r="C21" s="74"/>
      <c r="D21" s="74"/>
      <c r="E21" s="74"/>
    </row>
    <row r="22" spans="1:5">
      <c r="A22" s="74"/>
      <c r="B22" s="74"/>
      <c r="C22" s="74"/>
      <c r="D22" s="74"/>
      <c r="E22" s="74"/>
    </row>
    <row r="23" spans="1:5">
      <c r="A23" s="74"/>
      <c r="B23" s="74"/>
      <c r="C23" s="74"/>
      <c r="D23" s="74"/>
      <c r="E23" s="74"/>
    </row>
    <row r="24" spans="1:5">
      <c r="A24" s="74"/>
      <c r="B24" s="74"/>
      <c r="C24" s="74"/>
      <c r="D24" s="74"/>
      <c r="E24" s="74"/>
    </row>
    <row r="25" spans="1:5">
      <c r="A25" s="74"/>
      <c r="B25" s="74"/>
      <c r="C25" s="74"/>
      <c r="D25" s="74"/>
      <c r="E25" s="74"/>
    </row>
    <row r="26" spans="1:5">
      <c r="A26" s="74"/>
      <c r="B26" s="74"/>
      <c r="C26" s="74"/>
      <c r="D26" s="74"/>
      <c r="E26" s="74"/>
    </row>
    <row r="27" spans="1:5">
      <c r="A27" s="74"/>
      <c r="B27" s="74"/>
      <c r="C27" s="74"/>
      <c r="D27" s="74"/>
      <c r="E27" s="74"/>
    </row>
    <row r="28" spans="1:5">
      <c r="A28" s="74"/>
      <c r="B28" s="74"/>
      <c r="C28" s="74"/>
      <c r="D28" s="74"/>
      <c r="E28" s="74"/>
    </row>
    <row r="29" spans="1:5">
      <c r="A29" s="74"/>
      <c r="B29" s="74"/>
      <c r="C29" s="74"/>
      <c r="D29" s="74"/>
      <c r="E29" s="74"/>
    </row>
    <row r="30" spans="1:5">
      <c r="A30" s="74"/>
      <c r="B30" s="74"/>
      <c r="C30" s="74"/>
      <c r="D30" s="74"/>
      <c r="E30" s="74"/>
    </row>
    <row r="31" spans="1:5">
      <c r="A31" s="74"/>
      <c r="B31" s="74"/>
      <c r="C31" s="74"/>
      <c r="D31" s="74"/>
      <c r="E31" s="74"/>
    </row>
    <row r="32" spans="1:5">
      <c r="A32" s="74"/>
      <c r="B32" s="74"/>
      <c r="C32" s="74"/>
      <c r="D32" s="74"/>
      <c r="E32" s="74"/>
    </row>
    <row r="33" spans="1:40">
      <c r="A33" s="74"/>
      <c r="B33" s="74"/>
      <c r="C33" s="74"/>
      <c r="D33" s="74"/>
      <c r="E33" s="74"/>
    </row>
    <row r="34" spans="1:40">
      <c r="A34" s="74"/>
      <c r="B34" s="74"/>
      <c r="C34" s="74"/>
      <c r="D34" s="74"/>
      <c r="E34" s="74"/>
    </row>
    <row r="35" spans="1:40">
      <c r="A35" s="74"/>
      <c r="B35" s="74"/>
      <c r="C35" s="74"/>
      <c r="D35" s="74"/>
      <c r="E35" s="78"/>
    </row>
    <row r="36" spans="1:40">
      <c r="A36" s="243" t="s">
        <v>43</v>
      </c>
      <c r="B36" s="243"/>
      <c r="C36" s="79"/>
      <c r="D36" s="74"/>
      <c r="E36" s="74"/>
    </row>
    <row r="37" spans="1:40">
      <c r="A37" s="243" t="s">
        <v>44</v>
      </c>
      <c r="B37" s="243"/>
      <c r="C37" s="80"/>
      <c r="D37" s="74"/>
      <c r="E37" s="74"/>
    </row>
    <row r="38" spans="1:40" ht="14.4" thickBot="1">
      <c r="A38" s="74"/>
      <c r="B38" s="74"/>
      <c r="C38" s="74"/>
      <c r="D38" s="74"/>
      <c r="E38" s="74"/>
    </row>
    <row r="39" spans="1:40" ht="28.2" thickBot="1">
      <c r="A39" s="81" t="s">
        <v>45</v>
      </c>
      <c r="B39" s="82" t="s">
        <v>46</v>
      </c>
      <c r="C39" s="82" t="s">
        <v>47</v>
      </c>
      <c r="D39" s="83" t="s">
        <v>48</v>
      </c>
      <c r="E39" s="84" t="s">
        <v>49</v>
      </c>
    </row>
    <row r="40" spans="1:40">
      <c r="A40" s="85" t="s">
        <v>50</v>
      </c>
      <c r="B40" s="86" t="s">
        <v>51</v>
      </c>
      <c r="C40" s="87"/>
      <c r="D40" s="88">
        <f>(1/100)*C37</f>
        <v>0</v>
      </c>
      <c r="E40" s="89">
        <f>C40*D40</f>
        <v>0</v>
      </c>
    </row>
    <row r="41" spans="1:40">
      <c r="A41" s="90" t="s">
        <v>67</v>
      </c>
      <c r="B41" s="91" t="s">
        <v>46</v>
      </c>
      <c r="C41" s="92"/>
      <c r="D41" s="93">
        <f>(20/100)*C37</f>
        <v>0</v>
      </c>
      <c r="E41" s="94">
        <f>D41*C41</f>
        <v>0</v>
      </c>
    </row>
    <row r="42" spans="1:40">
      <c r="A42" s="90" t="s">
        <v>68</v>
      </c>
      <c r="B42" s="91" t="s">
        <v>46</v>
      </c>
      <c r="C42" s="92"/>
      <c r="D42" s="93">
        <f>(10/100)*C37</f>
        <v>0</v>
      </c>
      <c r="E42" s="94">
        <f>D42*C42</f>
        <v>0</v>
      </c>
    </row>
    <row r="43" spans="1:40">
      <c r="A43" s="90"/>
      <c r="B43" s="91" t="s">
        <v>46</v>
      </c>
      <c r="C43" s="92"/>
      <c r="D43" s="93"/>
      <c r="E43" s="94">
        <f t="shared" ref="E43:E51" si="0">+D43*C43</f>
        <v>0</v>
      </c>
    </row>
    <row r="44" spans="1:40">
      <c r="A44" s="183"/>
      <c r="B44" s="91" t="s">
        <v>46</v>
      </c>
      <c r="C44" s="95"/>
      <c r="D44" s="184"/>
      <c r="E44" s="94">
        <f t="shared" si="0"/>
        <v>0</v>
      </c>
    </row>
    <row r="45" spans="1:40">
      <c r="A45" s="183"/>
      <c r="B45" s="91" t="s">
        <v>46</v>
      </c>
      <c r="C45" s="95"/>
      <c r="D45" s="184"/>
      <c r="E45" s="94">
        <f t="shared" si="0"/>
        <v>0</v>
      </c>
    </row>
    <row r="46" spans="1:40">
      <c r="A46" s="183"/>
      <c r="B46" s="91" t="s">
        <v>46</v>
      </c>
      <c r="C46" s="95"/>
      <c r="D46" s="184"/>
      <c r="E46" s="94">
        <f t="shared" si="0"/>
        <v>0</v>
      </c>
    </row>
    <row r="47" spans="1:40">
      <c r="A47" s="183"/>
      <c r="B47" s="91" t="s">
        <v>46</v>
      </c>
      <c r="C47" s="95"/>
      <c r="D47" s="184"/>
      <c r="E47" s="94">
        <f t="shared" si="0"/>
        <v>0</v>
      </c>
    </row>
    <row r="48" spans="1:40">
      <c r="A48" s="183"/>
      <c r="B48" s="91" t="s">
        <v>46</v>
      </c>
      <c r="C48" s="95"/>
      <c r="D48" s="184"/>
      <c r="E48" s="94">
        <f t="shared" si="0"/>
        <v>0</v>
      </c>
    </row>
    <row r="49" spans="1:5">
      <c r="A49" s="183"/>
      <c r="B49" s="91" t="s">
        <v>46</v>
      </c>
      <c r="C49" s="95"/>
      <c r="D49" s="184"/>
      <c r="E49" s="94">
        <f t="shared" si="0"/>
        <v>0</v>
      </c>
    </row>
    <row r="50" spans="1:5">
      <c r="A50" s="183"/>
      <c r="B50" s="91" t="s">
        <v>46</v>
      </c>
      <c r="C50" s="95"/>
      <c r="D50" s="184"/>
      <c r="E50" s="94">
        <f t="shared" si="0"/>
        <v>0</v>
      </c>
    </row>
    <row r="51" spans="1:5" ht="14.4" thickBot="1">
      <c r="A51" s="113"/>
      <c r="B51" s="91" t="s">
        <v>46</v>
      </c>
      <c r="C51" s="98"/>
      <c r="D51" s="99"/>
      <c r="E51" s="94">
        <f t="shared" si="0"/>
        <v>0</v>
      </c>
    </row>
    <row r="52" spans="1:5">
      <c r="A52" s="100" t="s">
        <v>52</v>
      </c>
      <c r="B52" s="101"/>
      <c r="C52" s="102"/>
      <c r="D52" s="103"/>
      <c r="E52" s="104">
        <f>SUM(E40:E51)</f>
        <v>0</v>
      </c>
    </row>
    <row r="53" spans="1:5" ht="14.4" thickBot="1">
      <c r="A53" s="90" t="s">
        <v>53</v>
      </c>
      <c r="B53" s="105">
        <v>0.2</v>
      </c>
      <c r="C53" s="106"/>
      <c r="D53" s="107"/>
      <c r="E53" s="96">
        <f>E52*B53</f>
        <v>0</v>
      </c>
    </row>
    <row r="54" spans="1:5" ht="14.4" thickBot="1">
      <c r="A54" s="108" t="s">
        <v>54</v>
      </c>
      <c r="B54" s="109"/>
      <c r="C54" s="109"/>
      <c r="D54" s="110"/>
      <c r="E54" s="111">
        <f>E52+E53</f>
        <v>0</v>
      </c>
    </row>
    <row r="55" spans="1:5" ht="36" customHeight="1">
      <c r="A55" s="244" t="s">
        <v>133</v>
      </c>
      <c r="B55" s="244"/>
      <c r="C55" s="244"/>
      <c r="D55" s="244"/>
      <c r="E55" s="244"/>
    </row>
  </sheetData>
  <mergeCells count="10">
    <mergeCell ref="A55:E55"/>
    <mergeCell ref="D6:E6"/>
    <mergeCell ref="A8:E8"/>
    <mergeCell ref="A14:E14"/>
    <mergeCell ref="B1:D3"/>
    <mergeCell ref="A4:E4"/>
    <mergeCell ref="D5:E5"/>
    <mergeCell ref="A36:B36"/>
    <mergeCell ref="A37:B37"/>
    <mergeCell ref="D9:E9"/>
  </mergeCells>
  <pageMargins left="0.7" right="0.7" top="0.75" bottom="0.75" header="0.3" footer="0.3"/>
  <pageSetup scale="65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397D-2C00-415E-A800-BF1A7FDDF21B}">
  <sheetPr>
    <tabColor theme="6" tint="0.79998168889431442"/>
    <pageSetUpPr fitToPage="1"/>
  </sheetPr>
  <dimension ref="A1:K54"/>
  <sheetViews>
    <sheetView tabSelected="1" topLeftCell="A22" zoomScaleNormal="100" zoomScaleSheetLayoutView="85" workbookViewId="0">
      <selection activeCell="C37" sqref="C37"/>
    </sheetView>
  </sheetViews>
  <sheetFormatPr defaultColWidth="11.44140625" defaultRowHeight="13.8"/>
  <cols>
    <col min="1" max="1" width="30" style="59" customWidth="1"/>
    <col min="2" max="2" width="45.44140625" style="59" bestFit="1" customWidth="1"/>
    <col min="3" max="3" width="13.44140625" style="59" customWidth="1"/>
    <col min="4" max="4" width="26" style="59" bestFit="1" customWidth="1"/>
    <col min="5" max="5" width="26.109375" style="59" customWidth="1"/>
    <col min="6" max="6" width="11.44140625" style="59"/>
    <col min="7" max="7" width="30" style="59" customWidth="1"/>
    <col min="8" max="8" width="45.44140625" style="59" bestFit="1" customWidth="1"/>
    <col min="9" max="9" width="13.44140625" style="59" customWidth="1"/>
    <col min="10" max="10" width="26" style="59" bestFit="1" customWidth="1"/>
    <col min="11" max="11" width="26.109375" style="59" customWidth="1"/>
    <col min="12" max="16384" width="11.44140625" style="59"/>
  </cols>
  <sheetData>
    <row r="1" spans="1:11" ht="25.8" customHeight="1">
      <c r="A1" s="30"/>
      <c r="B1" s="248" t="s">
        <v>25</v>
      </c>
      <c r="C1" s="228"/>
      <c r="D1" s="222"/>
      <c r="E1" s="31" t="s">
        <v>28</v>
      </c>
    </row>
    <row r="2" spans="1:11" s="61" customFormat="1" ht="24" customHeight="1">
      <c r="A2" s="60"/>
      <c r="B2" s="249"/>
      <c r="C2" s="229"/>
      <c r="D2" s="224"/>
      <c r="E2" s="31" t="s">
        <v>70</v>
      </c>
      <c r="G2" s="59"/>
      <c r="H2" s="59"/>
      <c r="I2" s="59"/>
      <c r="J2" s="59"/>
      <c r="K2" s="59"/>
    </row>
    <row r="3" spans="1:11" s="61" customFormat="1" ht="19.2" customHeight="1">
      <c r="A3" s="62"/>
      <c r="B3" s="230"/>
      <c r="C3" s="230"/>
      <c r="D3" s="226"/>
      <c r="E3" s="31" t="s">
        <v>71</v>
      </c>
      <c r="G3" s="59"/>
      <c r="H3" s="59"/>
      <c r="I3" s="59"/>
      <c r="J3" s="59"/>
      <c r="K3" s="59"/>
    </row>
    <row r="4" spans="1:11" s="61" customFormat="1" ht="16.5" customHeight="1">
      <c r="A4" s="250"/>
      <c r="B4" s="229"/>
      <c r="C4" s="229"/>
      <c r="D4" s="229"/>
      <c r="E4" s="229"/>
      <c r="G4" s="59"/>
      <c r="H4" s="59"/>
      <c r="I4" s="59"/>
      <c r="J4" s="59"/>
      <c r="K4" s="59"/>
    </row>
    <row r="5" spans="1:11" s="61" customFormat="1" ht="42" customHeight="1">
      <c r="A5" s="63" t="s">
        <v>66</v>
      </c>
      <c r="B5" s="37" t="s">
        <v>116</v>
      </c>
      <c r="C5" s="64" t="s">
        <v>27</v>
      </c>
      <c r="D5" s="251" t="s">
        <v>131</v>
      </c>
      <c r="E5" s="252"/>
      <c r="G5" s="59"/>
      <c r="H5" s="59"/>
      <c r="I5" s="59"/>
      <c r="J5" s="59"/>
      <c r="K5" s="59"/>
    </row>
    <row r="6" spans="1:11" s="61" customFormat="1" ht="14.4">
      <c r="A6" s="66" t="s">
        <v>29</v>
      </c>
      <c r="B6" s="67" t="s">
        <v>55</v>
      </c>
      <c r="C6" s="65" t="s">
        <v>26</v>
      </c>
      <c r="D6" s="253">
        <v>45877</v>
      </c>
      <c r="E6" s="254"/>
      <c r="G6" s="59"/>
      <c r="H6" s="59"/>
      <c r="I6" s="59"/>
      <c r="J6" s="59"/>
      <c r="K6" s="59"/>
    </row>
    <row r="7" spans="1:11" s="61" customFormat="1" ht="14.4" customHeight="1">
      <c r="A7" s="68"/>
      <c r="B7" s="68"/>
      <c r="C7" s="68"/>
      <c r="D7" s="68"/>
      <c r="E7" s="68"/>
      <c r="G7" s="59"/>
      <c r="H7" s="59"/>
      <c r="I7" s="59"/>
      <c r="J7" s="59"/>
      <c r="K7" s="59"/>
    </row>
    <row r="8" spans="1:11" ht="18">
      <c r="A8" s="255" t="s">
        <v>38</v>
      </c>
      <c r="B8" s="255"/>
      <c r="C8" s="255"/>
      <c r="D8" s="255"/>
      <c r="E8" s="255"/>
    </row>
    <row r="9" spans="1:11" ht="18">
      <c r="A9" s="69" t="s">
        <v>39</v>
      </c>
      <c r="B9" s="70" t="s">
        <v>130</v>
      </c>
      <c r="C9" s="71"/>
      <c r="D9" s="71"/>
      <c r="E9" s="71"/>
    </row>
    <row r="10" spans="1:11">
      <c r="A10" s="72" t="s">
        <v>40</v>
      </c>
      <c r="B10" s="112" t="s">
        <v>129</v>
      </c>
      <c r="C10" s="74"/>
      <c r="D10" s="74"/>
      <c r="E10" s="74"/>
    </row>
    <row r="11" spans="1:11">
      <c r="A11" s="75" t="s">
        <v>41</v>
      </c>
      <c r="B11" s="76">
        <v>100</v>
      </c>
      <c r="C11" s="74"/>
      <c r="D11" s="74"/>
      <c r="E11" s="74"/>
    </row>
    <row r="12" spans="1:11">
      <c r="A12" s="75" t="s">
        <v>42</v>
      </c>
      <c r="B12" s="77">
        <f>E53</f>
        <v>0</v>
      </c>
      <c r="C12" s="74"/>
      <c r="D12" s="74"/>
      <c r="E12" s="74"/>
    </row>
    <row r="13" spans="1:11" ht="14.4" thickBot="1">
      <c r="A13" s="74"/>
      <c r="B13" s="74"/>
      <c r="C13" s="74"/>
      <c r="D13" s="74"/>
      <c r="E13" s="74"/>
    </row>
    <row r="14" spans="1:11" ht="14.4" thickBot="1">
      <c r="A14" s="245" t="s">
        <v>55</v>
      </c>
      <c r="B14" s="246"/>
      <c r="C14" s="246"/>
      <c r="D14" s="246"/>
      <c r="E14" s="247"/>
    </row>
    <row r="15" spans="1:11">
      <c r="A15" s="74"/>
      <c r="B15" s="74"/>
      <c r="C15" s="74"/>
      <c r="D15" s="74"/>
      <c r="E15" s="74"/>
    </row>
    <row r="16" spans="1:11">
      <c r="A16" s="74"/>
      <c r="B16" s="74"/>
      <c r="C16" s="74"/>
      <c r="D16" s="74"/>
      <c r="E16" s="74"/>
    </row>
    <row r="17" spans="1:5">
      <c r="A17" s="74"/>
      <c r="B17" s="74"/>
      <c r="C17" s="74"/>
      <c r="D17" s="74"/>
      <c r="E17" s="74"/>
    </row>
    <row r="18" spans="1:5" ht="14.4">
      <c r="A18" s="74"/>
      <c r="B18" s="58"/>
      <c r="C18" s="74"/>
      <c r="D18" s="74"/>
      <c r="E18" s="74"/>
    </row>
    <row r="19" spans="1:5">
      <c r="A19" s="74"/>
      <c r="B19" s="74"/>
      <c r="C19" s="74"/>
      <c r="D19" s="74"/>
      <c r="E19" s="74"/>
    </row>
    <row r="20" spans="1:5">
      <c r="A20" s="74"/>
      <c r="B20" s="74"/>
      <c r="C20" s="74"/>
      <c r="D20" s="74"/>
      <c r="E20" s="74"/>
    </row>
    <row r="21" spans="1:5">
      <c r="A21" s="74"/>
      <c r="B21" s="74"/>
      <c r="C21" s="74"/>
      <c r="D21" s="74"/>
      <c r="E21" s="74"/>
    </row>
    <row r="22" spans="1:5">
      <c r="A22" s="74"/>
      <c r="B22" s="74"/>
      <c r="C22" s="74"/>
      <c r="D22" s="74"/>
      <c r="E22" s="74"/>
    </row>
    <row r="23" spans="1:5">
      <c r="A23" s="74"/>
      <c r="B23" s="74"/>
      <c r="C23" s="74"/>
      <c r="D23" s="74"/>
      <c r="E23" s="74"/>
    </row>
    <row r="24" spans="1:5">
      <c r="A24" s="74"/>
      <c r="B24" s="74"/>
      <c r="C24" s="74"/>
      <c r="D24" s="74"/>
      <c r="E24" s="74"/>
    </row>
    <row r="25" spans="1:5">
      <c r="A25" s="74"/>
      <c r="B25" s="74"/>
      <c r="C25" s="74"/>
      <c r="D25" s="74"/>
      <c r="E25" s="74"/>
    </row>
    <row r="26" spans="1:5">
      <c r="A26" s="74"/>
      <c r="B26" s="74"/>
      <c r="C26" s="74"/>
      <c r="D26" s="74"/>
      <c r="E26" s="74"/>
    </row>
    <row r="27" spans="1:5">
      <c r="A27" s="74"/>
      <c r="B27" s="74"/>
      <c r="C27" s="74"/>
      <c r="D27" s="74"/>
      <c r="E27" s="74"/>
    </row>
    <row r="28" spans="1:5">
      <c r="A28" s="74"/>
      <c r="B28" s="74"/>
      <c r="C28" s="74"/>
      <c r="D28" s="74"/>
      <c r="E28" s="74"/>
    </row>
    <row r="29" spans="1:5">
      <c r="A29" s="74"/>
      <c r="B29" s="74"/>
      <c r="C29" s="74"/>
      <c r="D29" s="74"/>
      <c r="E29" s="74"/>
    </row>
    <row r="30" spans="1:5">
      <c r="A30" s="74"/>
      <c r="B30" s="74"/>
      <c r="C30" s="74"/>
      <c r="D30" s="74"/>
      <c r="E30" s="74"/>
    </row>
    <row r="31" spans="1:5">
      <c r="A31" s="74"/>
      <c r="B31" s="74"/>
      <c r="C31" s="74"/>
      <c r="D31" s="74"/>
      <c r="E31" s="74"/>
    </row>
    <row r="32" spans="1:5">
      <c r="A32" s="74"/>
      <c r="B32" s="74"/>
      <c r="C32" s="74"/>
      <c r="D32" s="74"/>
      <c r="E32" s="74"/>
    </row>
    <row r="33" spans="1:10">
      <c r="A33" s="74"/>
      <c r="B33" s="74"/>
      <c r="C33" s="74"/>
      <c r="D33" s="74"/>
      <c r="E33" s="74"/>
    </row>
    <row r="34" spans="1:10">
      <c r="A34" s="74"/>
      <c r="B34" s="74"/>
      <c r="C34" s="74"/>
      <c r="D34" s="74"/>
      <c r="E34" s="74"/>
    </row>
    <row r="35" spans="1:10">
      <c r="A35" s="74"/>
      <c r="B35" s="74"/>
      <c r="C35" s="74"/>
      <c r="D35" s="74"/>
      <c r="E35" s="78"/>
    </row>
    <row r="36" spans="1:10">
      <c r="A36" s="243" t="s">
        <v>43</v>
      </c>
      <c r="B36" s="243"/>
      <c r="C36" s="79"/>
      <c r="D36" s="74"/>
      <c r="E36" s="74"/>
    </row>
    <row r="37" spans="1:10">
      <c r="A37" s="243" t="s">
        <v>44</v>
      </c>
      <c r="B37" s="243"/>
      <c r="C37" s="80"/>
      <c r="D37" s="74"/>
      <c r="E37" s="74"/>
    </row>
    <row r="38" spans="1:10" ht="14.4" thickBot="1">
      <c r="A38" s="74"/>
      <c r="B38" s="74"/>
      <c r="C38" s="74"/>
      <c r="D38" s="74"/>
      <c r="E38" s="74"/>
    </row>
    <row r="39" spans="1:10" ht="28.2" thickBot="1">
      <c r="A39" s="81" t="s">
        <v>45</v>
      </c>
      <c r="B39" s="82" t="s">
        <v>46</v>
      </c>
      <c r="C39" s="82" t="s">
        <v>47</v>
      </c>
      <c r="D39" s="83" t="s">
        <v>48</v>
      </c>
      <c r="E39" s="84" t="s">
        <v>49</v>
      </c>
    </row>
    <row r="40" spans="1:10">
      <c r="A40" s="85" t="s">
        <v>50</v>
      </c>
      <c r="B40" s="86" t="s">
        <v>51</v>
      </c>
      <c r="C40" s="87"/>
      <c r="D40" s="88">
        <f>(1/100)*C37</f>
        <v>0</v>
      </c>
      <c r="E40" s="89">
        <f>C40*D40</f>
        <v>0</v>
      </c>
    </row>
    <row r="41" spans="1:10">
      <c r="A41" s="90" t="s">
        <v>67</v>
      </c>
      <c r="B41" s="91" t="s">
        <v>46</v>
      </c>
      <c r="C41" s="92"/>
      <c r="D41" s="93">
        <f>(20/100)*C37</f>
        <v>0</v>
      </c>
      <c r="E41" s="94">
        <f>D41*C41</f>
        <v>0</v>
      </c>
    </row>
    <row r="42" spans="1:10">
      <c r="A42" s="90" t="s">
        <v>68</v>
      </c>
      <c r="B42" s="91" t="s">
        <v>46</v>
      </c>
      <c r="C42" s="92"/>
      <c r="D42" s="93">
        <f>(10/100)*C37</f>
        <v>0</v>
      </c>
      <c r="E42" s="94">
        <f>D42*C42</f>
        <v>0</v>
      </c>
    </row>
    <row r="43" spans="1:10">
      <c r="A43" s="183"/>
      <c r="B43" s="91" t="s">
        <v>46</v>
      </c>
      <c r="C43" s="95"/>
      <c r="D43" s="184"/>
      <c r="E43" s="94">
        <f>D43*C43</f>
        <v>0</v>
      </c>
    </row>
    <row r="44" spans="1:10">
      <c r="A44" s="183"/>
      <c r="B44" s="91" t="s">
        <v>46</v>
      </c>
      <c r="C44" s="95"/>
      <c r="D44" s="184"/>
      <c r="E44" s="94">
        <f t="shared" ref="E44:E50" si="0">D44*C44</f>
        <v>0</v>
      </c>
    </row>
    <row r="45" spans="1:10">
      <c r="A45" s="183"/>
      <c r="B45" s="91" t="s">
        <v>46</v>
      </c>
      <c r="C45" s="95"/>
      <c r="D45" s="184"/>
      <c r="E45" s="94">
        <f t="shared" si="0"/>
        <v>0</v>
      </c>
    </row>
    <row r="46" spans="1:10">
      <c r="A46" s="183"/>
      <c r="B46" s="91" t="s">
        <v>46</v>
      </c>
      <c r="C46" s="95"/>
      <c r="D46" s="184"/>
      <c r="E46" s="94">
        <f t="shared" si="0"/>
        <v>0</v>
      </c>
    </row>
    <row r="47" spans="1:10">
      <c r="A47" s="183"/>
      <c r="B47" s="91" t="s">
        <v>46</v>
      </c>
      <c r="C47" s="95"/>
      <c r="D47" s="184"/>
      <c r="E47" s="94">
        <f t="shared" si="0"/>
        <v>0</v>
      </c>
    </row>
    <row r="48" spans="1:10">
      <c r="A48" s="183"/>
      <c r="B48" s="91" t="s">
        <v>46</v>
      </c>
      <c r="C48" s="95"/>
      <c r="D48" s="184"/>
      <c r="E48" s="94">
        <f t="shared" si="0"/>
        <v>0</v>
      </c>
    </row>
    <row r="49" spans="1:5">
      <c r="A49" s="183"/>
      <c r="B49" s="91" t="s">
        <v>46</v>
      </c>
      <c r="C49" s="95"/>
      <c r="D49" s="184"/>
      <c r="E49" s="94">
        <f t="shared" si="0"/>
        <v>0</v>
      </c>
    </row>
    <row r="50" spans="1:5" ht="14.4" thickBot="1">
      <c r="A50" s="113"/>
      <c r="B50" s="91" t="s">
        <v>46</v>
      </c>
      <c r="C50" s="98"/>
      <c r="D50" s="99"/>
      <c r="E50" s="94">
        <f t="shared" si="0"/>
        <v>0</v>
      </c>
    </row>
    <row r="51" spans="1:5">
      <c r="A51" s="100" t="s">
        <v>52</v>
      </c>
      <c r="B51" s="101"/>
      <c r="C51" s="102"/>
      <c r="D51" s="103"/>
      <c r="E51" s="104">
        <f>SUM(E40:E50)</f>
        <v>0</v>
      </c>
    </row>
    <row r="52" spans="1:5" ht="14.4" thickBot="1">
      <c r="A52" s="90" t="s">
        <v>53</v>
      </c>
      <c r="B52" s="105">
        <v>0.2</v>
      </c>
      <c r="C52" s="106"/>
      <c r="D52" s="107"/>
      <c r="E52" s="96">
        <f>E51*B52</f>
        <v>0</v>
      </c>
    </row>
    <row r="53" spans="1:5" ht="14.4" thickBot="1">
      <c r="A53" s="108" t="s">
        <v>54</v>
      </c>
      <c r="B53" s="109"/>
      <c r="C53" s="109"/>
      <c r="D53" s="110"/>
      <c r="E53" s="111">
        <f>E51+E52</f>
        <v>0</v>
      </c>
    </row>
    <row r="54" spans="1:5" ht="36" customHeight="1">
      <c r="A54" s="244" t="s">
        <v>133</v>
      </c>
      <c r="B54" s="244"/>
      <c r="C54" s="244"/>
      <c r="D54" s="244"/>
      <c r="E54" s="244"/>
    </row>
  </sheetData>
  <mergeCells count="9">
    <mergeCell ref="A36:B36"/>
    <mergeCell ref="A37:B37"/>
    <mergeCell ref="A54:E54"/>
    <mergeCell ref="B1:D3"/>
    <mergeCell ref="A4:E4"/>
    <mergeCell ref="D5:E5"/>
    <mergeCell ref="D6:E6"/>
    <mergeCell ref="A8:E8"/>
    <mergeCell ref="A14:E14"/>
  </mergeCells>
  <pageMargins left="0.7" right="0.7" top="0.75" bottom="0.75" header="0.3" footer="0.3"/>
  <pageSetup scale="6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D0B1-B0B8-4B07-BD3A-08E7C87DF413}">
  <sheetPr>
    <pageSetUpPr fitToPage="1"/>
  </sheetPr>
  <dimension ref="A1:W48"/>
  <sheetViews>
    <sheetView view="pageBreakPreview" topLeftCell="B1" zoomScale="60" zoomScaleNormal="100" workbookViewId="0">
      <selection activeCell="A8" sqref="A8:J8"/>
    </sheetView>
  </sheetViews>
  <sheetFormatPr defaultColWidth="11.44140625" defaultRowHeight="13.8"/>
  <cols>
    <col min="1" max="2" width="30" style="59" customWidth="1"/>
    <col min="3" max="3" width="32.44140625" style="59" bestFit="1" customWidth="1"/>
    <col min="4" max="4" width="20" style="59" customWidth="1"/>
    <col min="5" max="5" width="23.5546875" style="59" customWidth="1"/>
    <col min="6" max="6" width="15.44140625" style="59" bestFit="1" customWidth="1"/>
    <col min="7" max="7" width="12.88671875" style="59" customWidth="1"/>
    <col min="8" max="8" width="14" style="59" customWidth="1"/>
    <col min="9" max="9" width="11.44140625" style="59"/>
    <col min="10" max="10" width="18.21875" style="59" bestFit="1" customWidth="1"/>
    <col min="11" max="13" width="11.44140625" style="59"/>
    <col min="14" max="14" width="12.21875" style="59" bestFit="1" customWidth="1"/>
    <col min="15" max="22" width="11.44140625" style="59"/>
    <col min="23" max="23" width="13.44140625" style="59" bestFit="1" customWidth="1"/>
    <col min="24" max="16384" width="11.44140625" style="59"/>
  </cols>
  <sheetData>
    <row r="1" spans="1:23" ht="22.8" customHeight="1">
      <c r="A1" s="39"/>
      <c r="B1" s="264" t="s">
        <v>25</v>
      </c>
      <c r="C1" s="264"/>
      <c r="D1" s="264"/>
      <c r="E1" s="264"/>
      <c r="F1" s="264"/>
      <c r="G1" s="264"/>
      <c r="H1" s="264"/>
      <c r="I1" s="265"/>
      <c r="J1" s="35" t="s">
        <v>28</v>
      </c>
    </row>
    <row r="2" spans="1:23" s="61" customFormat="1" ht="25.8" customHeight="1">
      <c r="A2" s="53"/>
      <c r="B2" s="266"/>
      <c r="C2" s="266"/>
      <c r="D2" s="266"/>
      <c r="E2" s="266"/>
      <c r="F2" s="266"/>
      <c r="G2" s="266"/>
      <c r="H2" s="266"/>
      <c r="I2" s="267"/>
      <c r="J2" s="35" t="s">
        <v>70</v>
      </c>
    </row>
    <row r="3" spans="1:23" s="61" customFormat="1" ht="25.8" customHeight="1">
      <c r="A3" s="54"/>
      <c r="B3" s="268"/>
      <c r="C3" s="268"/>
      <c r="D3" s="268"/>
      <c r="E3" s="268"/>
      <c r="F3" s="268"/>
      <c r="G3" s="268"/>
      <c r="H3" s="268"/>
      <c r="I3" s="269"/>
      <c r="J3" s="35" t="s">
        <v>71</v>
      </c>
      <c r="L3" s="106" t="s">
        <v>82</v>
      </c>
      <c r="M3" s="114">
        <f>+SUMIF($B$12:$B$22,L3,$J$12:$J$22)</f>
        <v>1560</v>
      </c>
    </row>
    <row r="4" spans="1:23" s="61" customFormat="1">
      <c r="A4" s="250"/>
      <c r="B4" s="250"/>
      <c r="C4" s="250"/>
      <c r="D4" s="229"/>
      <c r="E4" s="229"/>
      <c r="F4" s="229"/>
      <c r="L4" s="106" t="s">
        <v>85</v>
      </c>
      <c r="M4" s="114">
        <f>+SUMIF($B$12:$B$22,L4,$J$12:$J$22)</f>
        <v>0</v>
      </c>
    </row>
    <row r="5" spans="1:23" s="61" customFormat="1" ht="15.6">
      <c r="A5" s="273" t="s">
        <v>66</v>
      </c>
      <c r="B5" s="274"/>
      <c r="C5" s="275"/>
      <c r="D5" s="276" t="s">
        <v>116</v>
      </c>
      <c r="E5" s="277"/>
      <c r="F5" s="277"/>
      <c r="G5" s="278"/>
      <c r="H5" s="115" t="s">
        <v>27</v>
      </c>
      <c r="I5" s="279" t="s">
        <v>131</v>
      </c>
      <c r="J5" s="280"/>
      <c r="L5" s="106" t="s">
        <v>86</v>
      </c>
      <c r="M5" s="114">
        <f>+SUMIF($B$12:$B$22,L5,$J$12:$J$22)</f>
        <v>0</v>
      </c>
    </row>
    <row r="6" spans="1:23" s="61" customFormat="1">
      <c r="A6" s="273" t="s">
        <v>29</v>
      </c>
      <c r="B6" s="274"/>
      <c r="C6" s="275"/>
      <c r="D6" s="281" t="s">
        <v>55</v>
      </c>
      <c r="E6" s="281"/>
      <c r="F6" s="281"/>
      <c r="G6" s="281"/>
      <c r="H6" s="115" t="s">
        <v>26</v>
      </c>
      <c r="I6" s="282">
        <v>45875</v>
      </c>
      <c r="J6" s="283"/>
      <c r="L6" s="106" t="s">
        <v>88</v>
      </c>
      <c r="M6" s="114">
        <f>+SUMIF($B$12:$B$22,L6,$J$12:$J$22)</f>
        <v>0</v>
      </c>
      <c r="N6" s="116"/>
    </row>
    <row r="7" spans="1:23" s="61" customFormat="1" ht="14.4" thickBot="1"/>
    <row r="8" spans="1:23" ht="18.600000000000001" thickBot="1">
      <c r="A8" s="270" t="s">
        <v>73</v>
      </c>
      <c r="B8" s="271"/>
      <c r="C8" s="271"/>
      <c r="D8" s="271"/>
      <c r="E8" s="271"/>
      <c r="F8" s="271"/>
      <c r="G8" s="271"/>
      <c r="H8" s="271"/>
      <c r="I8" s="271"/>
      <c r="J8" s="272"/>
    </row>
    <row r="9" spans="1:23" ht="14.4" thickBot="1">
      <c r="A9" s="74"/>
      <c r="B9" s="74"/>
      <c r="C9" s="74"/>
      <c r="D9" s="74"/>
      <c r="E9" s="74"/>
      <c r="F9" s="74"/>
      <c r="G9" s="74"/>
      <c r="H9" s="74"/>
      <c r="I9" s="74"/>
      <c r="J9" s="74"/>
    </row>
    <row r="10" spans="1:23" ht="15" thickBot="1">
      <c r="A10" s="74"/>
      <c r="B10" s="74"/>
      <c r="C10" s="74"/>
      <c r="D10" s="74"/>
      <c r="E10" s="74"/>
      <c r="F10" s="74"/>
      <c r="G10" s="74"/>
      <c r="H10" s="74"/>
      <c r="I10" s="74"/>
      <c r="J10" s="74"/>
      <c r="L10" s="258" t="s">
        <v>118</v>
      </c>
      <c r="M10" s="259"/>
      <c r="N10" s="260"/>
    </row>
    <row r="11" spans="1:23" ht="55.8" thickBot="1">
      <c r="A11" s="117" t="s">
        <v>72</v>
      </c>
      <c r="B11" s="117" t="s">
        <v>79</v>
      </c>
      <c r="C11" s="118" t="s">
        <v>56</v>
      </c>
      <c r="D11" s="119" t="s">
        <v>74</v>
      </c>
      <c r="E11" s="119" t="s">
        <v>75</v>
      </c>
      <c r="F11" s="120" t="s">
        <v>57</v>
      </c>
      <c r="G11" s="119" t="s">
        <v>76</v>
      </c>
      <c r="H11" s="119" t="s">
        <v>77</v>
      </c>
      <c r="I11" s="119" t="s">
        <v>62</v>
      </c>
      <c r="J11" s="121" t="s">
        <v>69</v>
      </c>
      <c r="L11" s="122" t="s">
        <v>119</v>
      </c>
      <c r="M11" s="123" t="s">
        <v>120</v>
      </c>
      <c r="N11" s="124" t="s">
        <v>121</v>
      </c>
      <c r="P11" s="125" t="s">
        <v>123</v>
      </c>
      <c r="Q11" s="57"/>
      <c r="R11" s="126" t="s">
        <v>124</v>
      </c>
      <c r="S11" s="127" t="s">
        <v>125</v>
      </c>
      <c r="T11" s="128"/>
      <c r="U11" s="129" t="s">
        <v>126</v>
      </c>
      <c r="V11" s="57"/>
      <c r="W11" s="129" t="s">
        <v>127</v>
      </c>
    </row>
    <row r="12" spans="1:23" ht="15" thickBot="1">
      <c r="A12" s="261" t="s">
        <v>58</v>
      </c>
      <c r="B12" s="130" t="s">
        <v>82</v>
      </c>
      <c r="C12" s="131" t="s">
        <v>91</v>
      </c>
      <c r="D12" s="132">
        <v>0.06</v>
      </c>
      <c r="E12" s="133">
        <v>5</v>
      </c>
      <c r="F12" s="132">
        <v>49</v>
      </c>
      <c r="G12" s="134">
        <v>22</v>
      </c>
      <c r="H12" s="134">
        <f>+IF(G12&gt;0,G12,(#REF!/100)*F12)</f>
        <v>22</v>
      </c>
      <c r="I12" s="134">
        <f t="shared" ref="I12:I22" si="0">+F12*10.76*D12+E12*H12</f>
        <v>141.6344</v>
      </c>
      <c r="J12" s="135">
        <v>150</v>
      </c>
      <c r="L12" s="136">
        <f>250*G12</f>
        <v>5500</v>
      </c>
      <c r="M12" s="137">
        <f>((F12*$L$24)+(0.4*G12)*3400)</f>
        <v>29920.610732091318</v>
      </c>
      <c r="N12" s="138">
        <f>L12+M12</f>
        <v>35420.610732091314</v>
      </c>
      <c r="P12" s="139">
        <f>1404*(J12/100)</f>
        <v>2106</v>
      </c>
      <c r="Q12" s="57"/>
      <c r="R12" s="140">
        <f>120*3</f>
        <v>360</v>
      </c>
      <c r="S12" s="140">
        <f>500*3</f>
        <v>1500</v>
      </c>
      <c r="T12" s="141"/>
      <c r="U12" s="142">
        <f t="shared" ref="U12:U22" si="1">N12+S12-R12-P12</f>
        <v>34454.610732091314</v>
      </c>
      <c r="V12" s="57"/>
      <c r="W12" s="143">
        <f>N12-P12</f>
        <v>33314.610732091314</v>
      </c>
    </row>
    <row r="13" spans="1:23" ht="15" thickBot="1">
      <c r="A13" s="262"/>
      <c r="B13" s="144" t="s">
        <v>82</v>
      </c>
      <c r="C13" s="91" t="s">
        <v>92</v>
      </c>
      <c r="D13" s="145">
        <v>0.06</v>
      </c>
      <c r="E13" s="146">
        <v>5</v>
      </c>
      <c r="F13" s="145">
        <v>13</v>
      </c>
      <c r="G13" s="147">
        <v>8</v>
      </c>
      <c r="H13" s="147">
        <f>+IF(G13&gt;0,G13,(#REF!/100)*F13)</f>
        <v>8</v>
      </c>
      <c r="I13" s="147">
        <f t="shared" si="0"/>
        <v>48.392800000000001</v>
      </c>
      <c r="J13" s="148">
        <v>50</v>
      </c>
      <c r="L13" s="149">
        <f t="shared" ref="L13:L22" si="2">250*G13</f>
        <v>2000</v>
      </c>
      <c r="M13" s="137">
        <f>((F13*$L$24)+(0.045*G13)*3400)</f>
        <v>1224.1620309630018</v>
      </c>
      <c r="N13" s="150">
        <f t="shared" ref="N13:N22" si="3">L13+M13</f>
        <v>3224.1620309630016</v>
      </c>
      <c r="P13" s="151">
        <f t="shared" ref="P13:P22" si="4">1404*(J13/100)</f>
        <v>702</v>
      </c>
      <c r="Q13" s="57"/>
      <c r="R13" s="140">
        <f>120*2</f>
        <v>240</v>
      </c>
      <c r="S13" s="140">
        <f>500*2</f>
        <v>1000</v>
      </c>
      <c r="T13" s="57"/>
      <c r="U13" s="142">
        <f t="shared" si="1"/>
        <v>3282.1620309630016</v>
      </c>
      <c r="V13" s="57"/>
      <c r="W13" s="152">
        <f t="shared" ref="W13:W22" si="5">N13-P13</f>
        <v>2522.1620309630016</v>
      </c>
    </row>
    <row r="14" spans="1:23" ht="15" thickBot="1">
      <c r="A14" s="262"/>
      <c r="B14" s="144" t="s">
        <v>82</v>
      </c>
      <c r="C14" s="91" t="s">
        <v>93</v>
      </c>
      <c r="D14" s="145">
        <v>0.06</v>
      </c>
      <c r="E14" s="146">
        <v>5</v>
      </c>
      <c r="F14" s="145">
        <v>6</v>
      </c>
      <c r="G14" s="147">
        <v>1</v>
      </c>
      <c r="H14" s="147">
        <f>+IF(G14&gt;0,G14,(#REF!/100)*F14)</f>
        <v>1</v>
      </c>
      <c r="I14" s="147">
        <f t="shared" si="0"/>
        <v>8.8735999999999997</v>
      </c>
      <c r="J14" s="148">
        <v>120</v>
      </c>
      <c r="L14" s="149">
        <f t="shared" si="2"/>
        <v>250</v>
      </c>
      <c r="M14" s="137">
        <f>((F14*$L$24)+(0.3*1)*3400)</f>
        <v>1020.0747835213855</v>
      </c>
      <c r="N14" s="150">
        <f t="shared" si="3"/>
        <v>1270.0747835213856</v>
      </c>
      <c r="P14" s="151">
        <f>1404*(J14/100)</f>
        <v>1684.8</v>
      </c>
      <c r="Q14" s="57"/>
      <c r="R14" s="140"/>
      <c r="S14" s="140"/>
      <c r="T14" s="57"/>
      <c r="U14" s="153">
        <f t="shared" si="1"/>
        <v>-414.72521647861436</v>
      </c>
      <c r="V14" s="57"/>
      <c r="W14" s="154">
        <f t="shared" si="5"/>
        <v>-414.72521647861436</v>
      </c>
    </row>
    <row r="15" spans="1:23" ht="15" thickBot="1">
      <c r="A15" s="262"/>
      <c r="B15" s="144" t="s">
        <v>82</v>
      </c>
      <c r="C15" s="91" t="s">
        <v>92</v>
      </c>
      <c r="D15" s="145">
        <v>0.06</v>
      </c>
      <c r="E15" s="146">
        <v>5</v>
      </c>
      <c r="F15" s="145">
        <v>6</v>
      </c>
      <c r="G15" s="147">
        <v>4</v>
      </c>
      <c r="H15" s="147">
        <f>+IF(G15&gt;0,G15,(#REF!/100)*F15)</f>
        <v>4</v>
      </c>
      <c r="I15" s="147">
        <f t="shared" si="0"/>
        <v>23.8736</v>
      </c>
      <c r="J15" s="148">
        <v>120</v>
      </c>
      <c r="L15" s="149">
        <f t="shared" si="2"/>
        <v>1000</v>
      </c>
      <c r="M15" s="137">
        <f>((F15*$L$24)+(0.045*G15)*3400)</f>
        <v>612.07478352138548</v>
      </c>
      <c r="N15" s="150">
        <f t="shared" si="3"/>
        <v>1612.0747835213856</v>
      </c>
      <c r="P15" s="151">
        <f>1404*(J15/100)</f>
        <v>1684.8</v>
      </c>
      <c r="Q15" s="57"/>
      <c r="R15" s="140"/>
      <c r="S15" s="140"/>
      <c r="T15" s="57"/>
      <c r="U15" s="153">
        <f t="shared" si="1"/>
        <v>-72.725216478614357</v>
      </c>
      <c r="V15" s="57"/>
      <c r="W15" s="154">
        <f t="shared" si="5"/>
        <v>-72.725216478614357</v>
      </c>
    </row>
    <row r="16" spans="1:23" ht="15" thickBot="1">
      <c r="A16" s="262"/>
      <c r="B16" s="144" t="s">
        <v>82</v>
      </c>
      <c r="C16" s="91" t="s">
        <v>94</v>
      </c>
      <c r="D16" s="145">
        <v>0.06</v>
      </c>
      <c r="E16" s="146">
        <v>5</v>
      </c>
      <c r="F16" s="145">
        <v>15</v>
      </c>
      <c r="G16" s="147">
        <v>6</v>
      </c>
      <c r="H16" s="147">
        <f>+IF(G16&gt;0,G16,(#REF!/100)*F16)</f>
        <v>6</v>
      </c>
      <c r="I16" s="147">
        <f t="shared" si="0"/>
        <v>39.683999999999997</v>
      </c>
      <c r="J16" s="148">
        <v>180</v>
      </c>
      <c r="L16" s="149">
        <f t="shared" si="2"/>
        <v>1500</v>
      </c>
      <c r="M16" s="137">
        <f>((F16*$L$24)+(0.3*1)*3400)</f>
        <v>1020.1869588034637</v>
      </c>
      <c r="N16" s="150">
        <f t="shared" si="3"/>
        <v>2520.1869588034638</v>
      </c>
      <c r="P16" s="151">
        <f t="shared" si="4"/>
        <v>2527.2000000000003</v>
      </c>
      <c r="Q16" s="57"/>
      <c r="R16" s="140">
        <f>120*2</f>
        <v>240</v>
      </c>
      <c r="S16" s="140">
        <f>500*2</f>
        <v>1000</v>
      </c>
      <c r="T16" s="57"/>
      <c r="U16" s="142">
        <f t="shared" si="1"/>
        <v>752.98695880346349</v>
      </c>
      <c r="V16" s="57"/>
      <c r="W16" s="152">
        <f t="shared" si="5"/>
        <v>-7.0130411965365056</v>
      </c>
    </row>
    <row r="17" spans="1:23" ht="15" thickBot="1">
      <c r="A17" s="262"/>
      <c r="B17" s="144" t="s">
        <v>82</v>
      </c>
      <c r="C17" s="91" t="s">
        <v>95</v>
      </c>
      <c r="D17" s="145">
        <v>0.06</v>
      </c>
      <c r="E17" s="146">
        <v>5</v>
      </c>
      <c r="F17" s="145">
        <v>7</v>
      </c>
      <c r="G17" s="147">
        <v>1</v>
      </c>
      <c r="H17" s="147">
        <f>+IF(G17&gt;0,G17,(#REF!/100)*F17)</f>
        <v>1</v>
      </c>
      <c r="I17" s="147">
        <f t="shared" si="0"/>
        <v>9.5191999999999997</v>
      </c>
      <c r="J17" s="148">
        <v>130</v>
      </c>
      <c r="L17" s="149">
        <f t="shared" si="2"/>
        <v>250</v>
      </c>
      <c r="M17" s="137">
        <f>((F17*$L$24)+(0.3*1)*3400)</f>
        <v>1020.0872474416163</v>
      </c>
      <c r="N17" s="150">
        <f t="shared" si="3"/>
        <v>1270.0872474416165</v>
      </c>
      <c r="P17" s="151">
        <f t="shared" si="4"/>
        <v>1825.2</v>
      </c>
      <c r="Q17" s="57"/>
      <c r="R17" s="140"/>
      <c r="S17" s="140"/>
      <c r="T17" s="57"/>
      <c r="U17" s="153">
        <f t="shared" si="1"/>
        <v>-555.11275255838359</v>
      </c>
      <c r="V17" s="57"/>
      <c r="W17" s="154">
        <f t="shared" si="5"/>
        <v>-555.11275255838359</v>
      </c>
    </row>
    <row r="18" spans="1:23" ht="15" thickBot="1">
      <c r="A18" s="262"/>
      <c r="B18" s="144" t="s">
        <v>82</v>
      </c>
      <c r="C18" s="91" t="s">
        <v>96</v>
      </c>
      <c r="D18" s="145">
        <v>0.06</v>
      </c>
      <c r="E18" s="146">
        <v>5</v>
      </c>
      <c r="F18" s="145">
        <v>8</v>
      </c>
      <c r="G18" s="147">
        <v>3</v>
      </c>
      <c r="H18" s="147">
        <f>+IF(G18&gt;0,G18,(#REF!/100)*F18)</f>
        <v>3</v>
      </c>
      <c r="I18" s="147">
        <f t="shared" si="0"/>
        <v>20.1648</v>
      </c>
      <c r="J18" s="148">
        <v>130</v>
      </c>
      <c r="L18" s="149">
        <f t="shared" si="2"/>
        <v>750</v>
      </c>
      <c r="M18" s="137">
        <f t="shared" ref="M18:M19" si="6">((F18*$L$24)+(0.3*1)*3400)</f>
        <v>1020.0997113618473</v>
      </c>
      <c r="N18" s="150">
        <f t="shared" si="3"/>
        <v>1770.0997113618473</v>
      </c>
      <c r="P18" s="151">
        <f t="shared" si="4"/>
        <v>1825.2</v>
      </c>
      <c r="Q18" s="57"/>
      <c r="R18" s="140">
        <f t="shared" ref="R18:R19" si="7">120*1</f>
        <v>120</v>
      </c>
      <c r="S18" s="140">
        <f t="shared" ref="S18:S19" si="8">500*3</f>
        <v>1500</v>
      </c>
      <c r="T18" s="57"/>
      <c r="U18" s="142">
        <f t="shared" si="1"/>
        <v>1324.8997113618473</v>
      </c>
      <c r="V18" s="57"/>
      <c r="W18" s="152">
        <f t="shared" si="5"/>
        <v>-55.100288638152733</v>
      </c>
    </row>
    <row r="19" spans="1:23" ht="15" thickBot="1">
      <c r="A19" s="262"/>
      <c r="B19" s="144" t="s">
        <v>82</v>
      </c>
      <c r="C19" s="91" t="s">
        <v>97</v>
      </c>
      <c r="D19" s="145">
        <v>0.06</v>
      </c>
      <c r="E19" s="146">
        <v>5</v>
      </c>
      <c r="F19" s="145">
        <v>8</v>
      </c>
      <c r="G19" s="147">
        <v>3</v>
      </c>
      <c r="H19" s="147">
        <f>+IF(G19&gt;0,G19,(#REF!/100)*F19)</f>
        <v>3</v>
      </c>
      <c r="I19" s="147">
        <f t="shared" si="0"/>
        <v>20.1648</v>
      </c>
      <c r="J19" s="148">
        <v>130</v>
      </c>
      <c r="L19" s="149">
        <f t="shared" si="2"/>
        <v>750</v>
      </c>
      <c r="M19" s="137">
        <f t="shared" si="6"/>
        <v>1020.0997113618473</v>
      </c>
      <c r="N19" s="150">
        <f t="shared" si="3"/>
        <v>1770.0997113618473</v>
      </c>
      <c r="P19" s="151">
        <f t="shared" si="4"/>
        <v>1825.2</v>
      </c>
      <c r="Q19" s="57"/>
      <c r="R19" s="140">
        <f t="shared" si="7"/>
        <v>120</v>
      </c>
      <c r="S19" s="140">
        <f t="shared" si="8"/>
        <v>1500</v>
      </c>
      <c r="T19" s="57"/>
      <c r="U19" s="142">
        <f t="shared" si="1"/>
        <v>1324.8997113618473</v>
      </c>
      <c r="V19" s="57"/>
      <c r="W19" s="152">
        <f t="shared" si="5"/>
        <v>-55.100288638152733</v>
      </c>
    </row>
    <row r="20" spans="1:23" ht="15" thickBot="1">
      <c r="A20" s="262"/>
      <c r="B20" s="144" t="s">
        <v>82</v>
      </c>
      <c r="C20" s="155" t="s">
        <v>98</v>
      </c>
      <c r="D20" s="145">
        <v>0.06</v>
      </c>
      <c r="E20" s="146">
        <v>5</v>
      </c>
      <c r="F20" s="145">
        <v>14</v>
      </c>
      <c r="G20" s="147">
        <v>14</v>
      </c>
      <c r="H20" s="147">
        <f>+IF(G20&gt;0,G20,(#REF!/100)*F20)</f>
        <v>14</v>
      </c>
      <c r="I20" s="147">
        <f t="shared" si="0"/>
        <v>79.038399999999996</v>
      </c>
      <c r="J20" s="155"/>
      <c r="L20" s="149">
        <f t="shared" si="2"/>
        <v>3500</v>
      </c>
      <c r="M20" s="137">
        <f>((F20*$L$24)*3400)</f>
        <v>593.28260299134081</v>
      </c>
      <c r="N20" s="150">
        <f t="shared" si="3"/>
        <v>4093.2826029913408</v>
      </c>
      <c r="P20" s="151">
        <f t="shared" si="4"/>
        <v>0</v>
      </c>
      <c r="Q20" s="57"/>
      <c r="R20" s="140"/>
      <c r="S20" s="140"/>
      <c r="T20" s="57"/>
      <c r="U20" s="153">
        <f t="shared" si="1"/>
        <v>4093.2826029913408</v>
      </c>
      <c r="V20" s="57"/>
      <c r="W20" s="154">
        <f t="shared" si="5"/>
        <v>4093.2826029913408</v>
      </c>
    </row>
    <row r="21" spans="1:23" ht="15" thickBot="1">
      <c r="A21" s="262"/>
      <c r="B21" s="144" t="s">
        <v>82</v>
      </c>
      <c r="C21" s="91" t="s">
        <v>99</v>
      </c>
      <c r="D21" s="145">
        <v>0.06</v>
      </c>
      <c r="E21" s="146">
        <v>5</v>
      </c>
      <c r="F21" s="145">
        <v>52</v>
      </c>
      <c r="G21" s="147">
        <v>12</v>
      </c>
      <c r="H21" s="147">
        <f>+IF(G21&gt;0,G21,(#REF!/100)*F21)</f>
        <v>12</v>
      </c>
      <c r="I21" s="147">
        <f t="shared" si="0"/>
        <v>93.571200000000005</v>
      </c>
      <c r="J21" s="148">
        <v>350</v>
      </c>
      <c r="L21" s="149">
        <f t="shared" si="2"/>
        <v>3000</v>
      </c>
      <c r="M21" s="137">
        <f>((F21*$L$24)+(0.045*G21)*3400)</f>
        <v>1836.6481238520075</v>
      </c>
      <c r="N21" s="150">
        <f t="shared" si="3"/>
        <v>4836.6481238520073</v>
      </c>
      <c r="P21" s="151">
        <f t="shared" si="4"/>
        <v>4914</v>
      </c>
      <c r="Q21" s="57"/>
      <c r="R21" s="140"/>
      <c r="S21" s="140"/>
      <c r="T21" s="57"/>
      <c r="U21" s="153">
        <f t="shared" si="1"/>
        <v>-77.351876147992698</v>
      </c>
      <c r="V21" s="57"/>
      <c r="W21" s="154">
        <f t="shared" si="5"/>
        <v>-77.351876147992698</v>
      </c>
    </row>
    <row r="22" spans="1:23" ht="15" thickBot="1">
      <c r="A22" s="263"/>
      <c r="B22" s="156" t="s">
        <v>82</v>
      </c>
      <c r="C22" s="97" t="s">
        <v>100</v>
      </c>
      <c r="D22" s="157">
        <v>0.06</v>
      </c>
      <c r="E22" s="158">
        <v>5</v>
      </c>
      <c r="F22" s="157">
        <v>52</v>
      </c>
      <c r="G22" s="159">
        <v>7</v>
      </c>
      <c r="H22" s="159">
        <f>+IF(G22&gt;0,G22,(#REF!/100)*F22)</f>
        <v>7</v>
      </c>
      <c r="I22" s="159">
        <f t="shared" si="0"/>
        <v>68.571200000000005</v>
      </c>
      <c r="J22" s="160">
        <v>200</v>
      </c>
      <c r="L22" s="161">
        <f t="shared" si="2"/>
        <v>1750</v>
      </c>
      <c r="M22" s="137">
        <f>((F22*$L$24)+(0.045*G22)*3400)</f>
        <v>1071.6481238520073</v>
      </c>
      <c r="N22" s="162">
        <f t="shared" si="3"/>
        <v>2821.6481238520073</v>
      </c>
      <c r="P22" s="163">
        <f t="shared" si="4"/>
        <v>2808</v>
      </c>
      <c r="Q22" s="57"/>
      <c r="R22" s="140"/>
      <c r="S22" s="140"/>
      <c r="T22" s="57"/>
      <c r="U22" s="153">
        <f t="shared" si="1"/>
        <v>13.648123852007302</v>
      </c>
      <c r="V22" s="57"/>
      <c r="W22" s="164">
        <f t="shared" si="5"/>
        <v>13.648123852007302</v>
      </c>
    </row>
    <row r="23" spans="1:23" ht="15" thickBot="1">
      <c r="A23" s="74"/>
      <c r="D23" s="74"/>
      <c r="E23" s="74"/>
      <c r="F23" s="74"/>
      <c r="G23" s="74"/>
      <c r="H23" s="74"/>
      <c r="I23" s="74"/>
      <c r="J23" s="165">
        <f>SUM(J12:J22)</f>
        <v>1560</v>
      </c>
      <c r="L23" s="57"/>
      <c r="M23" s="57"/>
      <c r="N23" s="166">
        <f>SUM(N12:N22)</f>
        <v>60608.974809761217</v>
      </c>
      <c r="P23" s="167">
        <f>SUM(P12:P22)</f>
        <v>21902.400000000001</v>
      </c>
      <c r="Q23" s="57"/>
      <c r="R23" s="57"/>
      <c r="S23" s="57"/>
      <c r="T23" s="57"/>
      <c r="U23" s="57"/>
      <c r="V23" s="57"/>
      <c r="W23" s="168">
        <f>SUM(W12:W22)</f>
        <v>38706.574809761216</v>
      </c>
    </row>
    <row r="24" spans="1:23" ht="14.4">
      <c r="A24" s="74"/>
      <c r="B24" s="74"/>
      <c r="C24" s="74"/>
      <c r="D24" s="74"/>
      <c r="E24" s="74"/>
      <c r="F24" s="74"/>
      <c r="G24" s="74"/>
      <c r="H24" s="74"/>
      <c r="I24" s="74"/>
      <c r="J24" s="74"/>
      <c r="L24" s="169">
        <f>[1]Sheet1!H6</f>
        <v>1.2463920230910521E-2</v>
      </c>
      <c r="M24" s="57"/>
      <c r="N24" s="57"/>
    </row>
    <row r="25" spans="1:23" ht="15" thickBot="1">
      <c r="A25" s="74"/>
      <c r="B25" s="74"/>
      <c r="C25" s="74"/>
      <c r="D25" s="74"/>
      <c r="E25" s="74"/>
      <c r="F25" s="74"/>
      <c r="G25" s="74"/>
      <c r="H25" s="74"/>
      <c r="I25" s="74"/>
      <c r="J25" s="74"/>
      <c r="L25" s="170" t="s">
        <v>115</v>
      </c>
      <c r="M25" s="57"/>
      <c r="N25" s="57"/>
    </row>
    <row r="26" spans="1:23" ht="15" thickBot="1">
      <c r="A26" s="74"/>
      <c r="B26" s="74"/>
      <c r="C26" s="74"/>
      <c r="D26" s="74"/>
      <c r="E26" s="74"/>
      <c r="F26" s="74"/>
      <c r="G26" s="74"/>
      <c r="H26" s="74"/>
      <c r="I26" s="74"/>
      <c r="J26" s="74"/>
      <c r="L26" s="171" t="s">
        <v>122</v>
      </c>
      <c r="M26" s="57"/>
      <c r="N26" s="57"/>
    </row>
    <row r="27" spans="1:23">
      <c r="A27" s="74"/>
      <c r="B27" s="74"/>
      <c r="C27" s="74"/>
      <c r="D27" s="74"/>
      <c r="E27" s="74"/>
      <c r="F27" s="74"/>
      <c r="G27" s="74"/>
      <c r="H27" s="74"/>
      <c r="I27" s="74"/>
      <c r="J27" s="74"/>
    </row>
    <row r="28" spans="1:23">
      <c r="A28" s="74"/>
      <c r="B28" s="74"/>
      <c r="C28" s="74"/>
      <c r="D28" s="74"/>
      <c r="E28" s="74"/>
      <c r="F28" s="74"/>
      <c r="G28" s="74"/>
      <c r="H28" s="74"/>
      <c r="I28" s="74"/>
      <c r="J28" s="74"/>
    </row>
    <row r="29" spans="1:23">
      <c r="A29" s="74"/>
      <c r="B29" s="74"/>
      <c r="C29" s="74"/>
      <c r="D29" s="74"/>
      <c r="E29" s="74"/>
      <c r="F29" s="74"/>
      <c r="G29" s="74"/>
      <c r="H29" s="74"/>
      <c r="I29" s="74"/>
      <c r="J29" s="74"/>
    </row>
    <row r="30" spans="1:23">
      <c r="A30" s="74"/>
      <c r="B30" s="74"/>
      <c r="C30" s="74"/>
      <c r="D30" s="74"/>
      <c r="E30" s="74"/>
      <c r="F30" s="74"/>
      <c r="G30" s="74"/>
      <c r="H30" s="74"/>
      <c r="I30" s="74"/>
      <c r="J30" s="74"/>
    </row>
    <row r="31" spans="1:23">
      <c r="A31" s="74"/>
      <c r="B31" s="74"/>
      <c r="C31" s="74"/>
      <c r="D31" s="74"/>
      <c r="E31" s="74"/>
      <c r="F31" s="74"/>
      <c r="G31" s="74"/>
      <c r="H31" s="74"/>
      <c r="I31" s="74"/>
      <c r="J31" s="74"/>
    </row>
    <row r="32" spans="1:23">
      <c r="A32" s="74"/>
      <c r="B32" s="74"/>
      <c r="C32" s="74"/>
      <c r="D32" s="74"/>
      <c r="E32" s="74"/>
      <c r="F32" s="74"/>
      <c r="G32" s="74"/>
      <c r="H32" s="74"/>
      <c r="I32" s="74"/>
      <c r="J32" s="74"/>
    </row>
    <row r="33" spans="1:10">
      <c r="A33" s="74"/>
      <c r="B33" s="74"/>
      <c r="C33" s="74"/>
      <c r="D33" s="74"/>
      <c r="E33" s="74"/>
      <c r="F33" s="74"/>
      <c r="G33" s="74"/>
      <c r="H33" s="74"/>
      <c r="I33" s="74"/>
      <c r="J33" s="74"/>
    </row>
    <row r="34" spans="1:10">
      <c r="A34" s="74"/>
      <c r="B34" s="74"/>
      <c r="C34" s="74"/>
      <c r="D34" s="74"/>
      <c r="E34" s="74"/>
      <c r="F34" s="74"/>
      <c r="G34" s="74"/>
      <c r="H34" s="74"/>
      <c r="I34" s="74"/>
      <c r="J34" s="74"/>
    </row>
    <row r="35" spans="1:10">
      <c r="A35" s="74"/>
      <c r="B35" s="74"/>
      <c r="C35" s="74"/>
      <c r="D35" s="74"/>
      <c r="E35" s="74"/>
      <c r="F35" s="74"/>
      <c r="G35" s="74"/>
      <c r="H35" s="74"/>
      <c r="I35" s="74"/>
      <c r="J35" s="74"/>
    </row>
    <row r="36" spans="1:10">
      <c r="A36" s="74"/>
      <c r="B36" s="74"/>
      <c r="C36" s="74"/>
      <c r="D36" s="74"/>
      <c r="E36" s="74"/>
      <c r="F36" s="74"/>
      <c r="G36" s="74"/>
      <c r="H36" s="74"/>
      <c r="I36" s="74"/>
      <c r="J36" s="74"/>
    </row>
    <row r="37" spans="1:10">
      <c r="A37" s="74"/>
      <c r="B37" s="74"/>
      <c r="C37" s="74"/>
      <c r="D37" s="74"/>
      <c r="E37" s="74"/>
      <c r="F37" s="74"/>
      <c r="G37" s="74"/>
      <c r="H37" s="74"/>
      <c r="I37" s="74"/>
      <c r="J37" s="74"/>
    </row>
    <row r="38" spans="1:10">
      <c r="A38" s="74"/>
      <c r="B38" s="74"/>
      <c r="C38" s="74"/>
      <c r="D38" s="74"/>
      <c r="E38" s="74"/>
      <c r="F38" s="74"/>
      <c r="G38" s="74"/>
      <c r="H38" s="74"/>
      <c r="I38" s="74"/>
      <c r="J38" s="74"/>
    </row>
    <row r="39" spans="1:10">
      <c r="A39" s="74"/>
      <c r="B39" s="74"/>
      <c r="C39" s="74"/>
      <c r="D39" s="74"/>
      <c r="E39" s="74"/>
      <c r="F39" s="74"/>
      <c r="G39" s="74"/>
      <c r="H39" s="74"/>
      <c r="I39" s="74"/>
      <c r="J39" s="74"/>
    </row>
    <row r="40" spans="1:10">
      <c r="A40" s="74"/>
      <c r="B40" s="74"/>
      <c r="C40" s="74"/>
      <c r="D40" s="74"/>
      <c r="E40" s="74"/>
      <c r="F40" s="74"/>
      <c r="G40" s="74"/>
      <c r="H40" s="74"/>
      <c r="I40" s="74"/>
      <c r="J40" s="74"/>
    </row>
    <row r="41" spans="1:10">
      <c r="A41" s="74"/>
      <c r="B41" s="74"/>
      <c r="C41" s="74"/>
      <c r="D41" s="74"/>
      <c r="E41" s="74"/>
      <c r="F41" s="74"/>
      <c r="G41" s="74"/>
      <c r="H41" s="74"/>
      <c r="I41" s="74"/>
      <c r="J41" s="74"/>
    </row>
    <row r="42" spans="1:10">
      <c r="A42" s="74"/>
      <c r="B42" s="74"/>
      <c r="C42" s="74"/>
      <c r="D42" s="74"/>
      <c r="E42" s="74"/>
      <c r="F42" s="74"/>
      <c r="G42" s="74"/>
      <c r="H42" s="74"/>
      <c r="I42" s="74"/>
      <c r="J42" s="74"/>
    </row>
    <row r="43" spans="1:10">
      <c r="A43" s="74"/>
      <c r="B43" s="74"/>
      <c r="C43" s="74"/>
      <c r="D43" s="74"/>
      <c r="E43" s="74"/>
      <c r="F43" s="74"/>
      <c r="G43" s="74"/>
      <c r="H43" s="74"/>
      <c r="I43" s="74"/>
      <c r="J43" s="74"/>
    </row>
    <row r="44" spans="1:10">
      <c r="A44" s="74"/>
      <c r="B44" s="74"/>
      <c r="C44" s="74"/>
      <c r="D44" s="74"/>
      <c r="E44" s="74"/>
      <c r="F44" s="74"/>
      <c r="G44" s="74"/>
      <c r="H44" s="74"/>
      <c r="I44" s="74"/>
      <c r="J44" s="74"/>
    </row>
    <row r="45" spans="1:10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spans="1:10">
      <c r="A46" s="74"/>
      <c r="B46" s="74"/>
      <c r="C46" s="74"/>
      <c r="D46" s="74"/>
      <c r="E46" s="74"/>
      <c r="F46" s="74"/>
      <c r="G46" s="74"/>
      <c r="H46" s="74"/>
      <c r="I46" s="74"/>
      <c r="J46" s="74"/>
    </row>
    <row r="47" spans="1:10">
      <c r="A47" s="74"/>
      <c r="B47" s="74"/>
      <c r="C47" s="74"/>
      <c r="D47" s="74"/>
      <c r="E47" s="74"/>
      <c r="F47" s="74"/>
      <c r="G47" s="74"/>
      <c r="H47" s="74"/>
      <c r="I47" s="74"/>
      <c r="J47" s="74"/>
    </row>
    <row r="48" spans="1:10">
      <c r="A48" s="74"/>
      <c r="B48" s="74"/>
      <c r="C48" s="74"/>
      <c r="D48" s="74"/>
      <c r="E48" s="74"/>
      <c r="F48" s="74"/>
      <c r="G48" s="74"/>
      <c r="H48" s="74"/>
      <c r="I48" s="74"/>
      <c r="J48" s="74"/>
    </row>
  </sheetData>
  <mergeCells count="11">
    <mergeCell ref="L10:N10"/>
    <mergeCell ref="A12:A22"/>
    <mergeCell ref="B1:I3"/>
    <mergeCell ref="A8:J8"/>
    <mergeCell ref="A4:F4"/>
    <mergeCell ref="A5:C5"/>
    <mergeCell ref="D5:G5"/>
    <mergeCell ref="I5:J5"/>
    <mergeCell ref="A6:C6"/>
    <mergeCell ref="D6:G6"/>
    <mergeCell ref="I6:J6"/>
  </mergeCells>
  <phoneticPr fontId="22" type="noConversion"/>
  <pageMargins left="0.7" right="0.7" top="0.75" bottom="0.75" header="0.3" footer="0.3"/>
  <pageSetup scale="60" orientation="landscape" r:id="rId1"/>
  <colBreaks count="1" manualBreakCount="1">
    <brk id="1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756E-DDFC-4F4A-972C-1FB76254441A}">
  <sheetPr>
    <pageSetUpPr fitToPage="1"/>
  </sheetPr>
  <dimension ref="A1:J42"/>
  <sheetViews>
    <sheetView view="pageBreakPreview" zoomScale="85" zoomScaleNormal="100" zoomScaleSheetLayoutView="85" workbookViewId="0">
      <selection activeCell="H8" sqref="H8"/>
    </sheetView>
  </sheetViews>
  <sheetFormatPr defaultColWidth="11.44140625" defaultRowHeight="13.8"/>
  <cols>
    <col min="1" max="1" width="30" style="59" customWidth="1"/>
    <col min="2" max="2" width="18.109375" style="59" customWidth="1"/>
    <col min="3" max="3" width="34.21875" style="59" customWidth="1"/>
    <col min="4" max="4" width="27.21875" style="59" customWidth="1"/>
    <col min="5" max="5" width="30.21875" style="59" customWidth="1"/>
    <col min="6" max="6" width="19.77734375" style="59" customWidth="1"/>
    <col min="7" max="7" width="15" style="59" bestFit="1" customWidth="1"/>
    <col min="8" max="16384" width="11.44140625" style="59"/>
  </cols>
  <sheetData>
    <row r="1" spans="1:10" ht="25.8" customHeight="1">
      <c r="A1" s="284"/>
      <c r="B1" s="287" t="s">
        <v>25</v>
      </c>
      <c r="C1" s="264"/>
      <c r="D1" s="264"/>
      <c r="E1" s="264"/>
      <c r="F1" s="265"/>
      <c r="G1" s="35" t="s">
        <v>28</v>
      </c>
      <c r="H1" s="36"/>
      <c r="I1" s="36"/>
    </row>
    <row r="2" spans="1:10" s="61" customFormat="1" ht="24" customHeight="1">
      <c r="A2" s="285"/>
      <c r="B2" s="288"/>
      <c r="C2" s="266"/>
      <c r="D2" s="266"/>
      <c r="E2" s="266"/>
      <c r="F2" s="267"/>
      <c r="G2" s="35" t="s">
        <v>70</v>
      </c>
      <c r="H2" s="36"/>
      <c r="I2" s="36"/>
    </row>
    <row r="3" spans="1:10" s="61" customFormat="1" ht="19.2" customHeight="1">
      <c r="A3" s="286"/>
      <c r="B3" s="289"/>
      <c r="C3" s="268"/>
      <c r="D3" s="268"/>
      <c r="E3" s="268"/>
      <c r="F3" s="269"/>
      <c r="G3" s="35" t="s">
        <v>71</v>
      </c>
      <c r="H3" s="36"/>
      <c r="I3" s="36"/>
    </row>
    <row r="4" spans="1:10" s="61" customFormat="1" ht="16.5" customHeight="1">
      <c r="A4" s="250"/>
      <c r="B4" s="229"/>
      <c r="C4" s="229"/>
      <c r="D4" s="229"/>
      <c r="E4" s="57"/>
      <c r="F4" s="57"/>
    </row>
    <row r="5" spans="1:10" s="61" customFormat="1" ht="15.6">
      <c r="A5" s="115" t="s">
        <v>66</v>
      </c>
      <c r="B5" s="276" t="s">
        <v>116</v>
      </c>
      <c r="C5" s="278"/>
      <c r="D5" s="115" t="s">
        <v>27</v>
      </c>
      <c r="E5" s="274" t="s">
        <v>131</v>
      </c>
      <c r="F5" s="274"/>
      <c r="G5" s="274"/>
    </row>
    <row r="6" spans="1:10" s="61" customFormat="1">
      <c r="A6" s="115" t="s">
        <v>29</v>
      </c>
      <c r="B6" s="300" t="s">
        <v>55</v>
      </c>
      <c r="C6" s="301"/>
      <c r="D6" s="115" t="s">
        <v>26</v>
      </c>
      <c r="E6" s="298">
        <v>45877</v>
      </c>
      <c r="F6" s="298"/>
      <c r="G6" s="299"/>
    </row>
    <row r="7" spans="1:10" s="61" customFormat="1" ht="14.4" customHeight="1" thickBot="1">
      <c r="I7" s="106" t="s">
        <v>80</v>
      </c>
      <c r="J7" s="172">
        <f>+SUMIF($B$12:$B$12,I7,$F$12:$G$12)</f>
        <v>200</v>
      </c>
    </row>
    <row r="8" spans="1:10" ht="18.600000000000001" thickBot="1">
      <c r="A8" s="294" t="s">
        <v>59</v>
      </c>
      <c r="B8" s="295"/>
      <c r="C8" s="295"/>
      <c r="D8" s="295"/>
      <c r="E8" s="296"/>
      <c r="F8" s="296"/>
      <c r="G8" s="297"/>
      <c r="I8" s="106" t="s">
        <v>83</v>
      </c>
      <c r="J8" s="172">
        <f ca="1">+SUMIF($B$12:$B$13,I8,$F$12:$G$12)</f>
        <v>0</v>
      </c>
    </row>
    <row r="9" spans="1:10">
      <c r="I9" s="106" t="s">
        <v>130</v>
      </c>
      <c r="J9" s="172">
        <f ca="1">+SUMIF($B$12:$B$13,I9,$F$12:$G$12)</f>
        <v>100</v>
      </c>
    </row>
    <row r="10" spans="1:10" ht="14.4" thickBot="1">
      <c r="I10" s="106" t="s">
        <v>84</v>
      </c>
      <c r="J10" s="172">
        <f>+SUMIF($B$12:$B$12,I10,$F$12:$G$12)</f>
        <v>0</v>
      </c>
    </row>
    <row r="11" spans="1:10" ht="28.2" thickBot="1">
      <c r="A11" s="173" t="s">
        <v>72</v>
      </c>
      <c r="B11" s="174" t="s">
        <v>79</v>
      </c>
      <c r="C11" s="175" t="s">
        <v>60</v>
      </c>
      <c r="D11" s="176" t="s">
        <v>61</v>
      </c>
      <c r="E11" s="176" t="s">
        <v>81</v>
      </c>
      <c r="F11" s="292" t="s">
        <v>62</v>
      </c>
      <c r="G11" s="293"/>
    </row>
    <row r="12" spans="1:10" ht="14.4" thickBot="1">
      <c r="A12" s="177" t="s">
        <v>58</v>
      </c>
      <c r="B12" s="178" t="s">
        <v>80</v>
      </c>
      <c r="C12" s="179" t="s">
        <v>101</v>
      </c>
      <c r="D12" s="179">
        <v>4</v>
      </c>
      <c r="E12" s="179">
        <v>50</v>
      </c>
      <c r="F12" s="290">
        <f>+D12*E12</f>
        <v>200</v>
      </c>
      <c r="G12" s="291"/>
    </row>
    <row r="13" spans="1:10" ht="14.4" thickBot="1">
      <c r="A13" s="177" t="s">
        <v>58</v>
      </c>
      <c r="B13" s="178" t="s">
        <v>130</v>
      </c>
      <c r="C13" s="179" t="s">
        <v>129</v>
      </c>
      <c r="D13" s="179">
        <v>1</v>
      </c>
      <c r="E13" s="179">
        <v>100</v>
      </c>
      <c r="F13" s="290">
        <f>+D13*E13</f>
        <v>100</v>
      </c>
      <c r="G13" s="291"/>
    </row>
    <row r="42" ht="36" customHeight="1"/>
  </sheetData>
  <mergeCells count="11">
    <mergeCell ref="F13:G13"/>
    <mergeCell ref="F12:G12"/>
    <mergeCell ref="F11:G11"/>
    <mergeCell ref="A8:G8"/>
    <mergeCell ref="E6:G6"/>
    <mergeCell ref="B6:C6"/>
    <mergeCell ref="A1:A3"/>
    <mergeCell ref="A4:D4"/>
    <mergeCell ref="B5:C5"/>
    <mergeCell ref="E5:G5"/>
    <mergeCell ref="B1:F3"/>
  </mergeCells>
  <pageMargins left="0.7" right="0.7" top="0.75" bottom="0.75" header="0.3" footer="0.3"/>
  <pageSetup scale="7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B68-57B1-4036-9DEA-C84592C7304F}">
  <sheetPr>
    <pageSetUpPr fitToPage="1"/>
  </sheetPr>
  <dimension ref="A1:L35"/>
  <sheetViews>
    <sheetView view="pageBreakPreview" zoomScale="85" zoomScaleNormal="100" zoomScaleSheetLayoutView="85" workbookViewId="0">
      <selection activeCell="A4" sqref="A4:E4"/>
    </sheetView>
  </sheetViews>
  <sheetFormatPr defaultColWidth="11.44140625" defaultRowHeight="13.8"/>
  <cols>
    <col min="1" max="3" width="30" style="20" customWidth="1"/>
    <col min="4" max="4" width="20" style="20" customWidth="1"/>
    <col min="5" max="5" width="15.44140625" style="20" bestFit="1" customWidth="1"/>
    <col min="6" max="6" width="11.44140625" style="20"/>
    <col min="7" max="7" width="14.88671875" style="20" bestFit="1" customWidth="1"/>
    <col min="8" max="16384" width="11.44140625" style="20"/>
  </cols>
  <sheetData>
    <row r="1" spans="1:12" ht="22.8" customHeight="1">
      <c r="A1" s="30"/>
      <c r="B1" s="287" t="s">
        <v>25</v>
      </c>
      <c r="C1" s="264"/>
      <c r="D1" s="264"/>
      <c r="E1" s="264"/>
      <c r="F1" s="265"/>
      <c r="G1" s="35" t="s">
        <v>28</v>
      </c>
    </row>
    <row r="2" spans="1:12" s="23" customFormat="1" ht="25.8" customHeight="1">
      <c r="A2" s="32"/>
      <c r="B2" s="288"/>
      <c r="C2" s="266"/>
      <c r="D2" s="266"/>
      <c r="E2" s="266"/>
      <c r="F2" s="267"/>
      <c r="G2" s="35" t="s">
        <v>70</v>
      </c>
    </row>
    <row r="3" spans="1:12" s="23" customFormat="1" ht="25.8" customHeight="1">
      <c r="A3" s="33"/>
      <c r="B3" s="289"/>
      <c r="C3" s="268"/>
      <c r="D3" s="268"/>
      <c r="E3" s="268"/>
      <c r="F3" s="269"/>
      <c r="G3" s="35" t="s">
        <v>71</v>
      </c>
    </row>
    <row r="4" spans="1:12" s="23" customFormat="1" ht="20.399999999999999">
      <c r="A4" s="308"/>
      <c r="B4" s="308"/>
      <c r="C4" s="308"/>
      <c r="D4" s="309"/>
      <c r="E4" s="309"/>
    </row>
    <row r="5" spans="1:12" s="23" customFormat="1" ht="20.399999999999999">
      <c r="A5" s="34" t="s">
        <v>66</v>
      </c>
      <c r="B5" s="310" t="s">
        <v>116</v>
      </c>
      <c r="C5" s="310"/>
      <c r="D5" s="34" t="s">
        <v>27</v>
      </c>
      <c r="E5" s="314" t="s">
        <v>131</v>
      </c>
      <c r="F5" s="314"/>
      <c r="G5" s="314"/>
    </row>
    <row r="6" spans="1:12" s="23" customFormat="1" ht="20.399999999999999">
      <c r="A6" s="34" t="s">
        <v>29</v>
      </c>
      <c r="B6" s="311" t="s">
        <v>55</v>
      </c>
      <c r="C6" s="311"/>
      <c r="D6" s="34" t="s">
        <v>26</v>
      </c>
      <c r="E6" s="312">
        <v>45877</v>
      </c>
      <c r="F6" s="313"/>
      <c r="G6" s="313"/>
      <c r="K6" s="304" t="s">
        <v>87</v>
      </c>
      <c r="L6" s="304"/>
    </row>
    <row r="7" spans="1:12" s="23" customFormat="1" ht="14.4" thickBot="1">
      <c r="I7" s="22" t="s">
        <v>80</v>
      </c>
      <c r="J7" s="40">
        <f>+SUMIF($B$12:$B$13,I7,$G$12:$G$13)</f>
        <v>50</v>
      </c>
      <c r="K7" s="22" t="s">
        <v>80</v>
      </c>
      <c r="L7" s="40">
        <f>+J7+'Extracción Baños'!J7</f>
        <v>250</v>
      </c>
    </row>
    <row r="8" spans="1:12" ht="18" thickBot="1">
      <c r="A8" s="305" t="s">
        <v>73</v>
      </c>
      <c r="B8" s="306"/>
      <c r="C8" s="306"/>
      <c r="D8" s="306"/>
      <c r="E8" s="306"/>
      <c r="F8" s="306"/>
      <c r="G8" s="307"/>
      <c r="I8" s="22" t="s">
        <v>83</v>
      </c>
      <c r="J8" s="40">
        <f>+SUMIF($B$12:$B$13,I8,$G$12:$G$13)</f>
        <v>300</v>
      </c>
      <c r="K8" s="22" t="s">
        <v>83</v>
      </c>
      <c r="L8" s="40">
        <f ca="1">+J8+'Extracción Baños'!J8</f>
        <v>300</v>
      </c>
    </row>
    <row r="9" spans="1:12">
      <c r="A9" s="24"/>
      <c r="B9" s="24"/>
      <c r="C9" s="24"/>
      <c r="D9" s="24"/>
      <c r="E9" s="24"/>
      <c r="F9" s="24"/>
      <c r="G9" s="24"/>
      <c r="I9" s="22" t="s">
        <v>130</v>
      </c>
      <c r="J9" s="40">
        <f>+SUMIF($B$12:$B$13,I9,$G$12:$G$13)</f>
        <v>0</v>
      </c>
      <c r="K9" s="22" t="s">
        <v>130</v>
      </c>
      <c r="L9" s="40">
        <f ca="1">+J9+'Extracción Baños'!J9</f>
        <v>100</v>
      </c>
    </row>
    <row r="10" spans="1:12" ht="14.4" thickBot="1">
      <c r="A10" s="24"/>
      <c r="B10" s="24"/>
      <c r="C10" s="24"/>
      <c r="D10" s="24"/>
      <c r="E10" s="24"/>
      <c r="F10" s="24"/>
      <c r="G10" s="24"/>
      <c r="I10" s="22" t="s">
        <v>84</v>
      </c>
      <c r="J10" s="40">
        <f>+SUMIF($B$12:$B$13,I10,$G$12:$G$13)</f>
        <v>0</v>
      </c>
      <c r="K10" s="22" t="s">
        <v>84</v>
      </c>
      <c r="L10" s="40">
        <f>+J10+'Extracción Baños'!J10</f>
        <v>0</v>
      </c>
    </row>
    <row r="11" spans="1:12" ht="42" thickBot="1">
      <c r="A11" s="48" t="s">
        <v>72</v>
      </c>
      <c r="B11" s="48" t="s">
        <v>79</v>
      </c>
      <c r="C11" s="49" t="s">
        <v>56</v>
      </c>
      <c r="D11" s="50" t="s">
        <v>78</v>
      </c>
      <c r="E11" s="51" t="s">
        <v>57</v>
      </c>
      <c r="F11" s="50" t="s">
        <v>62</v>
      </c>
      <c r="G11" s="52" t="s">
        <v>69</v>
      </c>
      <c r="J11" s="38"/>
    </row>
    <row r="12" spans="1:12">
      <c r="A12" s="302" t="s">
        <v>58</v>
      </c>
      <c r="B12" s="21" t="s">
        <v>80</v>
      </c>
      <c r="C12" s="21" t="s">
        <v>102</v>
      </c>
      <c r="D12" s="41">
        <v>1</v>
      </c>
      <c r="E12" s="41">
        <v>2</v>
      </c>
      <c r="F12" s="42">
        <f>+D12*E12*10.76</f>
        <v>21.52</v>
      </c>
      <c r="G12" s="56">
        <v>50</v>
      </c>
    </row>
    <row r="13" spans="1:12" ht="14.4" thickBot="1">
      <c r="A13" s="303"/>
      <c r="B13" s="43" t="s">
        <v>83</v>
      </c>
      <c r="C13" s="43" t="s">
        <v>98</v>
      </c>
      <c r="D13" s="44">
        <v>0.3</v>
      </c>
      <c r="E13" s="44">
        <v>14</v>
      </c>
      <c r="F13" s="45">
        <f>+D13*E13*10.76</f>
        <v>45.192</v>
      </c>
      <c r="G13" s="46">
        <v>300</v>
      </c>
    </row>
    <row r="14" spans="1:12">
      <c r="A14" s="24"/>
      <c r="B14" s="24"/>
      <c r="C14" s="24"/>
      <c r="D14" s="24"/>
      <c r="E14" s="24"/>
      <c r="F14" s="24"/>
      <c r="G14" s="24"/>
      <c r="H14" s="47"/>
    </row>
    <row r="15" spans="1:12">
      <c r="A15" s="24"/>
      <c r="B15" s="24"/>
      <c r="C15" s="24"/>
      <c r="D15" s="24"/>
      <c r="E15" s="24"/>
      <c r="F15" s="24"/>
      <c r="G15" s="24"/>
    </row>
    <row r="16" spans="1:12">
      <c r="A16" s="24"/>
      <c r="B16" s="24"/>
      <c r="C16" s="24"/>
      <c r="D16" s="24"/>
      <c r="E16" s="24"/>
      <c r="F16" s="24"/>
      <c r="G16" s="24"/>
    </row>
    <row r="17" spans="1:7">
      <c r="A17" s="24"/>
      <c r="B17" s="24"/>
      <c r="C17" s="24"/>
      <c r="D17" s="24"/>
      <c r="E17" s="24"/>
      <c r="F17" s="24"/>
      <c r="G17" s="24"/>
    </row>
    <row r="18" spans="1:7">
      <c r="A18" s="24"/>
      <c r="B18" s="24"/>
      <c r="C18" s="24"/>
      <c r="D18" s="24"/>
      <c r="E18" s="24"/>
      <c r="F18" s="24"/>
      <c r="G18" s="24"/>
    </row>
    <row r="19" spans="1:7">
      <c r="A19" s="24"/>
      <c r="B19" s="24"/>
      <c r="C19" s="24"/>
      <c r="D19" s="24"/>
      <c r="E19" s="24"/>
      <c r="F19" s="24"/>
      <c r="G19" s="24"/>
    </row>
    <row r="20" spans="1:7">
      <c r="A20" s="24"/>
      <c r="B20" s="24"/>
      <c r="C20" s="24"/>
      <c r="D20" s="24"/>
      <c r="E20" s="24"/>
      <c r="F20" s="24"/>
      <c r="G20" s="24"/>
    </row>
    <row r="21" spans="1:7">
      <c r="A21" s="24"/>
      <c r="B21" s="24"/>
      <c r="C21" s="24"/>
      <c r="D21" s="24"/>
      <c r="E21" s="24"/>
      <c r="F21" s="24"/>
      <c r="G21" s="24"/>
    </row>
    <row r="22" spans="1:7">
      <c r="A22" s="24"/>
      <c r="B22" s="24"/>
      <c r="C22" s="24"/>
      <c r="D22" s="24"/>
      <c r="E22" s="24"/>
      <c r="F22" s="24"/>
      <c r="G22" s="24"/>
    </row>
    <row r="23" spans="1:7">
      <c r="A23" s="24"/>
      <c r="B23" s="24"/>
      <c r="C23" s="24"/>
      <c r="D23" s="24"/>
      <c r="E23" s="24"/>
      <c r="F23" s="24"/>
      <c r="G23" s="24"/>
    </row>
    <row r="24" spans="1:7">
      <c r="A24" s="24"/>
      <c r="B24" s="24"/>
      <c r="C24" s="24"/>
      <c r="D24" s="24"/>
      <c r="E24" s="24"/>
      <c r="F24" s="24"/>
      <c r="G24" s="24"/>
    </row>
    <row r="25" spans="1:7">
      <c r="A25" s="24"/>
      <c r="B25" s="24"/>
      <c r="C25" s="24"/>
      <c r="D25" s="24"/>
      <c r="E25" s="24"/>
      <c r="F25" s="24"/>
      <c r="G25" s="24"/>
    </row>
    <row r="26" spans="1:7">
      <c r="A26" s="24"/>
      <c r="B26" s="24"/>
      <c r="C26" s="24"/>
      <c r="D26" s="24"/>
      <c r="E26" s="24"/>
      <c r="F26" s="24"/>
      <c r="G26" s="24"/>
    </row>
    <row r="27" spans="1:7">
      <c r="A27" s="24"/>
      <c r="B27" s="24"/>
      <c r="C27" s="24"/>
      <c r="D27" s="24"/>
      <c r="E27" s="24"/>
      <c r="F27" s="24"/>
      <c r="G27" s="24"/>
    </row>
    <row r="28" spans="1:7">
      <c r="A28" s="24"/>
      <c r="B28" s="24"/>
      <c r="C28" s="24"/>
      <c r="D28" s="24"/>
      <c r="E28" s="24"/>
      <c r="F28" s="24"/>
      <c r="G28" s="24"/>
    </row>
    <row r="29" spans="1:7">
      <c r="A29" s="24"/>
      <c r="B29" s="24"/>
      <c r="C29" s="24"/>
      <c r="D29" s="24"/>
      <c r="E29" s="24"/>
      <c r="F29" s="24"/>
      <c r="G29" s="24"/>
    </row>
    <row r="30" spans="1:7">
      <c r="A30" s="24"/>
      <c r="B30" s="24"/>
      <c r="C30" s="24"/>
      <c r="D30" s="24"/>
      <c r="E30" s="24"/>
      <c r="F30" s="24"/>
      <c r="G30" s="24"/>
    </row>
    <row r="31" spans="1:7">
      <c r="A31" s="24"/>
      <c r="B31" s="24"/>
      <c r="C31" s="24"/>
      <c r="D31" s="24"/>
      <c r="E31" s="24"/>
      <c r="F31" s="24"/>
      <c r="G31" s="24"/>
    </row>
    <row r="32" spans="1:7">
      <c r="A32" s="24"/>
      <c r="B32" s="24"/>
      <c r="C32" s="24"/>
      <c r="D32" s="24"/>
      <c r="E32" s="24"/>
      <c r="F32" s="24"/>
      <c r="G32" s="24"/>
    </row>
    <row r="33" spans="1:7">
      <c r="A33" s="24"/>
      <c r="B33" s="24"/>
      <c r="C33" s="24"/>
      <c r="D33" s="24"/>
      <c r="E33" s="24"/>
      <c r="F33" s="24"/>
      <c r="G33" s="24"/>
    </row>
    <row r="34" spans="1:7">
      <c r="A34" s="24"/>
      <c r="B34" s="24"/>
      <c r="C34" s="24"/>
      <c r="D34" s="24"/>
      <c r="E34" s="24"/>
      <c r="F34" s="24"/>
      <c r="G34" s="24"/>
    </row>
    <row r="35" spans="1:7">
      <c r="A35" s="24"/>
      <c r="B35" s="24"/>
      <c r="C35" s="24"/>
      <c r="D35" s="24"/>
      <c r="E35" s="24"/>
      <c r="F35" s="24"/>
      <c r="G35" s="24"/>
    </row>
  </sheetData>
  <mergeCells count="9">
    <mergeCell ref="A12:A13"/>
    <mergeCell ref="B1:F3"/>
    <mergeCell ref="K6:L6"/>
    <mergeCell ref="A8:G8"/>
    <mergeCell ref="A4:E4"/>
    <mergeCell ref="B5:C5"/>
    <mergeCell ref="B6:C6"/>
    <mergeCell ref="E6:G6"/>
    <mergeCell ref="E5:G5"/>
  </mergeCells>
  <pageMargins left="0.7" right="0.7" top="0.75" bottom="0.75" header="0.3" footer="0.3"/>
  <pageSetup scale="8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8BE1-5868-4659-ADD8-6BD9F392DEB1}">
  <dimension ref="C2:M32"/>
  <sheetViews>
    <sheetView workbookViewId="0">
      <selection activeCell="G38" sqref="G38:G39"/>
    </sheetView>
  </sheetViews>
  <sheetFormatPr defaultRowHeight="13.2"/>
  <cols>
    <col min="3" max="3" width="13.77734375" bestFit="1" customWidth="1"/>
    <col min="7" max="7" width="20.21875" bestFit="1" customWidth="1"/>
  </cols>
  <sheetData>
    <row r="2" spans="3:12">
      <c r="C2" t="s">
        <v>104</v>
      </c>
      <c r="D2">
        <v>48.8</v>
      </c>
      <c r="G2" t="s">
        <v>113</v>
      </c>
      <c r="H2">
        <v>3.5</v>
      </c>
    </row>
    <row r="3" spans="3:12">
      <c r="C3" t="s">
        <v>105</v>
      </c>
      <c r="D3">
        <v>12.9</v>
      </c>
      <c r="G3" t="s">
        <v>114</v>
      </c>
      <c r="H3">
        <f>+H2*0.95</f>
        <v>3.3249999999999997</v>
      </c>
    </row>
    <row r="4" spans="3:12">
      <c r="C4" t="s">
        <v>106</v>
      </c>
      <c r="D4">
        <v>5</v>
      </c>
    </row>
    <row r="5" spans="3:12">
      <c r="C5" t="s">
        <v>103</v>
      </c>
      <c r="D5">
        <v>5</v>
      </c>
    </row>
    <row r="6" spans="3:12">
      <c r="C6" t="s">
        <v>93</v>
      </c>
      <c r="D6">
        <v>5.9</v>
      </c>
      <c r="G6" t="s">
        <v>115</v>
      </c>
      <c r="H6" s="55">
        <f>+H3/D18</f>
        <v>1.2463920230910521E-2</v>
      </c>
    </row>
    <row r="7" spans="3:12">
      <c r="C7" t="s">
        <v>105</v>
      </c>
      <c r="D7">
        <v>5.7</v>
      </c>
    </row>
    <row r="8" spans="3:12">
      <c r="C8" t="s">
        <v>107</v>
      </c>
      <c r="D8">
        <v>4.7</v>
      </c>
    </row>
    <row r="9" spans="3:12">
      <c r="C9" t="s">
        <v>108</v>
      </c>
      <c r="D9">
        <v>7.07</v>
      </c>
    </row>
    <row r="10" spans="3:12">
      <c r="C10" t="s">
        <v>109</v>
      </c>
      <c r="D10">
        <v>15</v>
      </c>
    </row>
    <row r="11" spans="3:12">
      <c r="C11" t="s">
        <v>95</v>
      </c>
      <c r="D11">
        <v>6.6</v>
      </c>
    </row>
    <row r="12" spans="3:12">
      <c r="C12" t="s">
        <v>96</v>
      </c>
      <c r="D12">
        <v>7.6</v>
      </c>
    </row>
    <row r="13" spans="3:12">
      <c r="C13" t="s">
        <v>97</v>
      </c>
      <c r="D13">
        <v>7.2</v>
      </c>
    </row>
    <row r="14" spans="3:12">
      <c r="C14" t="s">
        <v>110</v>
      </c>
      <c r="D14">
        <v>51.4</v>
      </c>
      <c r="L14">
        <f>1560-300-250-100</f>
        <v>910</v>
      </c>
    </row>
    <row r="15" spans="3:12">
      <c r="C15" t="s">
        <v>111</v>
      </c>
      <c r="D15">
        <v>51.5</v>
      </c>
    </row>
    <row r="16" spans="3:12">
      <c r="C16" t="s">
        <v>98</v>
      </c>
      <c r="D16">
        <v>13.3</v>
      </c>
    </row>
    <row r="17" spans="3:13">
      <c r="C17" t="s">
        <v>112</v>
      </c>
      <c r="D17">
        <v>19.100000000000001</v>
      </c>
    </row>
    <row r="18" spans="3:13">
      <c r="D18">
        <f>+SUM(D2:D17)</f>
        <v>266.77</v>
      </c>
    </row>
    <row r="24" spans="3:13">
      <c r="M24">
        <v>516</v>
      </c>
    </row>
    <row r="31" spans="3:13">
      <c r="M31">
        <v>54</v>
      </c>
    </row>
    <row r="32" spans="3:13">
      <c r="M32">
        <v>165463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L19"/>
  <sheetViews>
    <sheetView workbookViewId="0"/>
  </sheetViews>
  <sheetFormatPr defaultColWidth="10.6640625" defaultRowHeight="13.2"/>
  <sheetData>
    <row r="4" spans="2:12">
      <c r="E4" s="1">
        <v>0.25</v>
      </c>
    </row>
    <row r="5" spans="2:12">
      <c r="B5" t="s">
        <v>1</v>
      </c>
      <c r="D5" s="2">
        <v>371.06</v>
      </c>
      <c r="E5" s="2">
        <f>+D5*1.25</f>
        <v>463.82499999999999</v>
      </c>
    </row>
    <row r="6" spans="2:12">
      <c r="B6" t="s">
        <v>2</v>
      </c>
      <c r="D6" s="2">
        <v>110.53</v>
      </c>
      <c r="E6" s="2">
        <f>+D6*1.25</f>
        <v>138.16249999999999</v>
      </c>
      <c r="J6" t="s">
        <v>5</v>
      </c>
      <c r="L6" t="s">
        <v>7</v>
      </c>
    </row>
    <row r="7" spans="2:12">
      <c r="B7" t="s">
        <v>3</v>
      </c>
      <c r="D7" s="2">
        <v>73.28</v>
      </c>
      <c r="E7" s="2">
        <f>+D7*1.25</f>
        <v>91.6</v>
      </c>
      <c r="L7" t="s">
        <v>6</v>
      </c>
    </row>
    <row r="8" spans="2:12">
      <c r="B8" t="s">
        <v>4</v>
      </c>
      <c r="D8" s="2">
        <v>131</v>
      </c>
      <c r="E8" s="2">
        <f>+D8*1.25</f>
        <v>163.75</v>
      </c>
    </row>
    <row r="12" spans="2:12">
      <c r="B12" t="s">
        <v>0</v>
      </c>
    </row>
    <row r="13" spans="2:12">
      <c r="B13" s="2">
        <v>14</v>
      </c>
      <c r="C13" s="2"/>
      <c r="D13" s="2"/>
      <c r="E13" s="2"/>
    </row>
    <row r="14" spans="2:12">
      <c r="B14" s="2">
        <v>44.3</v>
      </c>
      <c r="C14" s="2"/>
      <c r="D14" s="2"/>
      <c r="E14" s="2"/>
      <c r="G14" s="2">
        <f>+E8+E19</f>
        <v>326.625</v>
      </c>
      <c r="H14">
        <f>+G14*1.1</f>
        <v>359.28750000000002</v>
      </c>
    </row>
    <row r="15" spans="2:12">
      <c r="B15" s="2">
        <v>14</v>
      </c>
      <c r="C15" s="2"/>
      <c r="D15" s="2"/>
      <c r="E15" s="2"/>
    </row>
    <row r="16" spans="2:12">
      <c r="B16" s="2">
        <v>17</v>
      </c>
      <c r="C16" s="2"/>
      <c r="D16" s="2"/>
      <c r="E16" s="2"/>
    </row>
    <row r="17" spans="2:5">
      <c r="B17" s="2">
        <v>11</v>
      </c>
      <c r="C17" s="2"/>
      <c r="D17" s="2"/>
      <c r="E17" s="2"/>
    </row>
    <row r="18" spans="2:5">
      <c r="B18" s="2">
        <v>19</v>
      </c>
      <c r="C18" s="2"/>
      <c r="D18" s="2"/>
      <c r="E18" s="2"/>
    </row>
    <row r="19" spans="2:5">
      <c r="B19" s="2">
        <v>11</v>
      </c>
      <c r="C19" s="2"/>
      <c r="D19" s="2">
        <f>SUM(B13:B20)</f>
        <v>130.30000000000001</v>
      </c>
      <c r="E19" s="2">
        <f>+D19*1.25</f>
        <v>162.875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65D96-F2DF-41B8-80CC-BA3B2D812E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Hoja de vida</vt:lpstr>
      <vt:lpstr>1. Presentación</vt:lpstr>
      <vt:lpstr>VS-RC</vt:lpstr>
      <vt:lpstr>VE-RC</vt:lpstr>
      <vt:lpstr>EI-RC</vt:lpstr>
      <vt:lpstr>Ventilación zonas comúnes</vt:lpstr>
      <vt:lpstr>Extracción Baños</vt:lpstr>
      <vt:lpstr>Extracción zonas comúnes</vt:lpstr>
      <vt:lpstr>Sheet1</vt:lpstr>
      <vt:lpstr>Hoja1</vt:lpstr>
      <vt:lpstr>'EI-RC'!Print_Area</vt:lpstr>
      <vt:lpstr>'Extracción Baños'!Print_Area</vt:lpstr>
      <vt:lpstr>'Extracción zonas comúnes'!Print_Area</vt:lpstr>
      <vt:lpstr>'Ventilación zonas comúnes'!Print_Area</vt:lpstr>
      <vt:lpstr>'VE-RC'!Print_Area</vt:lpstr>
      <vt:lpstr>'VS-RC'!Print_Area</vt:lpstr>
      <vt:lpstr>'1. Presentación'!Print_Titles</vt:lpstr>
      <vt:lpstr>'Hoja de vida'!Print_Titles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PC -01</cp:lastModifiedBy>
  <cp:lastPrinted>2025-08-08T22:06:53Z</cp:lastPrinted>
  <dcterms:created xsi:type="dcterms:W3CDTF">2005-03-05T20:24:59Z</dcterms:created>
  <dcterms:modified xsi:type="dcterms:W3CDTF">2026-01-23T20:50:56Z</dcterms:modified>
</cp:coreProperties>
</file>